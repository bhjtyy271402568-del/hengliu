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henliu\outputs\bom_20260912_1board\"/>
    </mc:Choice>
  </mc:AlternateContent>
  <xr:revisionPtr revIDLastSave="0" documentId="13_ncr:1_{D4359CAD-4017-41D8-9D8C-25A54C3B7E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7" i="1" l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</calcChain>
</file>

<file path=xl/sharedStrings.xml><?xml version="1.0" encoding="utf-8"?>
<sst xmlns="http://schemas.openxmlformats.org/spreadsheetml/2006/main" count="2359" uniqueCount="1008">
  <si>
    <t>原始需求</t>
  </si>
  <si>
    <t>匹配结果</t>
  </si>
  <si>
    <t>订单满足</t>
  </si>
  <si>
    <t>Manufacturer Part</t>
  </si>
  <si>
    <t>Manufacturer</t>
  </si>
  <si>
    <t>Footprint</t>
  </si>
  <si>
    <t>原参数</t>
  </si>
  <si>
    <t>Supplier Part</t>
  </si>
  <si>
    <t>ID</t>
  </si>
  <si>
    <t>Name</t>
  </si>
  <si>
    <t>Designator</t>
  </si>
  <si>
    <t>Quantity</t>
  </si>
  <si>
    <t>Supplier</t>
  </si>
  <si>
    <t>商品名称</t>
  </si>
  <si>
    <t>型号</t>
  </si>
  <si>
    <t>品牌</t>
  </si>
  <si>
    <t>封装</t>
  </si>
  <si>
    <t>参数</t>
  </si>
  <si>
    <t>目录</t>
  </si>
  <si>
    <t>商品编号</t>
  </si>
  <si>
    <t>商品链接</t>
  </si>
  <si>
    <t>渠道</t>
  </si>
  <si>
    <t>交期</t>
  </si>
  <si>
    <t>MOQ</t>
  </si>
  <si>
    <t>MPQ</t>
  </si>
  <si>
    <t>库存</t>
  </si>
  <si>
    <t>购买数量</t>
  </si>
  <si>
    <t>原报价单价(RMB)</t>
  </si>
  <si>
    <t>关税税率</t>
  </si>
  <si>
    <t>参考小计(RMB)</t>
  </si>
  <si>
    <t>备注</t>
  </si>
  <si>
    <t>XT60PW-M</t>
  </si>
  <si>
    <t>AMASS(艾迈斯)</t>
  </si>
  <si>
    <t>CONN-TH_XT60PW-M</t>
  </si>
  <si>
    <t>C98732</t>
  </si>
  <si>
    <t>1</t>
  </si>
  <si>
    <t>CN2,CN1</t>
  </si>
  <si>
    <t>2</t>
  </si>
  <si>
    <t>LCSC</t>
  </si>
  <si>
    <t>系统匹配</t>
  </si>
  <si>
    <t>AMASS(艾迈斯)航模插头xt60连接器150公母对接pw锂电池公头 接PCB板卧式 黄色 公头XT60PW-M.G.Y</t>
  </si>
  <si>
    <t>-</t>
  </si>
  <si>
    <t>颜色：黄色 类型：卧式插头 接口形态：公头</t>
  </si>
  <si>
    <t>工控电气</t>
  </si>
  <si>
    <t>https://item.szlcsc.com/99942.html</t>
  </si>
  <si>
    <t>订货</t>
  </si>
  <si>
    <t>预估7-10个工作日</t>
  </si>
  <si>
    <t>250</t>
  </si>
  <si>
    <t>0</t>
  </si>
  <si>
    <t>3.69</t>
  </si>
  <si>
    <t>FS32X106K101EGG</t>
  </si>
  <si>
    <t>PSA(信昌电陶)</t>
  </si>
  <si>
    <t>C1210</t>
  </si>
  <si>
    <t>C5156756</t>
  </si>
  <si>
    <t>10uF</t>
  </si>
  <si>
    <t>C3,C4,C10,C11,C12,C13,C14,C15,C16,C19,C20,C36,C43,C29,C23,C80,C81,C82,C83,C63,C64,C96,C97</t>
  </si>
  <si>
    <t>23</t>
  </si>
  <si>
    <t>10uF ±10% 100V</t>
  </si>
  <si>
    <t>1210</t>
  </si>
  <si>
    <t>容值：10uF 精度：±10% 额定电压：100V 温度系数：X7R</t>
  </si>
  <si>
    <t>电容</t>
  </si>
  <si>
    <t>https://item.szlcsc.com/5791227.html</t>
  </si>
  <si>
    <t>现货</t>
  </si>
  <si>
    <t>4小时内发货</t>
  </si>
  <si>
    <t>5</t>
  </si>
  <si>
    <t>1000</t>
  </si>
  <si>
    <t>359050</t>
  </si>
  <si>
    <t>2.434</t>
  </si>
  <si>
    <t>1块板用23颗，备用7颗；购买数量25→30</t>
  </si>
  <si>
    <t>SMCJ36CA</t>
  </si>
  <si>
    <t>R+O(宏嘉诚)</t>
  </si>
  <si>
    <t>SMC_L6.9-W5.9-LS7.9-BI</t>
  </si>
  <si>
    <t>C19077609</t>
  </si>
  <si>
    <t>3</t>
  </si>
  <si>
    <t>D6</t>
  </si>
  <si>
    <t>双向TVS 36V截止 峰值浪涌电流：25.9A@10/1000us</t>
  </si>
  <si>
    <t>SMC(DO-214AB)</t>
  </si>
  <si>
    <t>极性：双向 反向截止电压(Vrwm)：36V 钳位电压：58.1V 峰值脉冲电流(Ipp)：25.9A@10/1000us 峰值脉冲功率(Ppp)：1.5kW@10/1000us 击穿电压(VBR)：44.2V 反向电流(Ir)：1uA 通道数：单路 工作温度：-55℃~+150℃ 防护等级：IEC 61000-4-2 类型：TVS</t>
  </si>
  <si>
    <t>三极管/MOS管/晶体管</t>
  </si>
  <si>
    <t>https://item.szlcsc.com/20275694.html</t>
  </si>
  <si>
    <t>3000</t>
  </si>
  <si>
    <t>343835</t>
  </si>
  <si>
    <t>0.9024</t>
  </si>
  <si>
    <t>HoYLR2512-3W-300mR-1%</t>
  </si>
  <si>
    <t>Milliohm(毫欧)</t>
  </si>
  <si>
    <t>R2512</t>
  </si>
  <si>
    <t>C5375492</t>
  </si>
  <si>
    <t>4</t>
  </si>
  <si>
    <t>300mΩ</t>
  </si>
  <si>
    <t>R6,R17</t>
  </si>
  <si>
    <t>300mΩ ±1% 3W</t>
  </si>
  <si>
    <t>2512</t>
  </si>
  <si>
    <t>电阻类型：采样电阻 阻值：300mΩ 精度：±1% 功率：3W 安装方式：贴片</t>
  </si>
  <si>
    <t>电阻</t>
  </si>
  <si>
    <t>https://item.szlcsc.com/6233989.html</t>
  </si>
  <si>
    <t>10</t>
  </si>
  <si>
    <t>4000</t>
  </si>
  <si>
    <t>37560</t>
  </si>
  <si>
    <t>0.3943</t>
  </si>
  <si>
    <t>RVT63V100M10X10</t>
  </si>
  <si>
    <t>JIERR(捷而瑞)</t>
  </si>
  <si>
    <t>CAP-SMD_BD10.0-L10.3-W10.3-LS11.0-FD_1</t>
  </si>
  <si>
    <t>C51953411</t>
  </si>
  <si>
    <t>100uF</t>
  </si>
  <si>
    <t>C5,C9</t>
  </si>
  <si>
    <t>100uF ±20% 63V</t>
  </si>
  <si>
    <t>SMD,D10xL10.5mm</t>
  </si>
  <si>
    <t>容值：100uF 精度：±20% 额定电压：63V 纹波电流：200mA@120Hz 等效串联电阻(ESR)：- 电容体直径：10mm 电容体长度：10.5mm 工作寿命：2000hrs@105℃ 工作温度：-40℃~+105℃</t>
  </si>
  <si>
    <t>https://item.szlcsc.com/54681536.html</t>
  </si>
  <si>
    <t>500</t>
  </si>
  <si>
    <t>20515</t>
  </si>
  <si>
    <t>1.05944</t>
  </si>
  <si>
    <t>0805W8F1003T5E</t>
  </si>
  <si>
    <t>UNI-ROYAL(厚声)</t>
  </si>
  <si>
    <t>R0805</t>
  </si>
  <si>
    <t>C149504</t>
  </si>
  <si>
    <t>6</t>
  </si>
  <si>
    <t>100kΩ</t>
  </si>
  <si>
    <t>R8,R28,R15,R7</t>
  </si>
  <si>
    <t>厚膜电阻 100kΩ ±1% 125mW</t>
  </si>
  <si>
    <t>0805</t>
  </si>
  <si>
    <t>电阻类型：厚膜电阻 阻值：100kΩ 精度：±1% 功率：125mW 工作电压：150V 温度系数：±100ppm/℃ 工作温度：-55℃~+155℃</t>
  </si>
  <si>
    <t>https://item.szlcsc.com/160838.html</t>
  </si>
  <si>
    <t>100</t>
  </si>
  <si>
    <t>5000</t>
  </si>
  <si>
    <t>3774900</t>
  </si>
  <si>
    <t>0.0361</t>
  </si>
  <si>
    <t>0805W8F1001T5E</t>
  </si>
  <si>
    <t>C17513</t>
  </si>
  <si>
    <t>7</t>
  </si>
  <si>
    <t>1kΩ</t>
  </si>
  <si>
    <t>R9,R45,R11,R18</t>
  </si>
  <si>
    <t>厚膜电阻 1kΩ ±1% 125mW</t>
  </si>
  <si>
    <t>电阻类型：厚膜电阻 阻值：1kΩ 精度：±1% 功率：125mW 工作电压：150V 温度系数：±100ppm/℃ 工作温度：-55℃~+155℃</t>
  </si>
  <si>
    <t>https://item.szlcsc.com/18201.html</t>
  </si>
  <si>
    <t>26203200</t>
  </si>
  <si>
    <t>0.0253</t>
  </si>
  <si>
    <t>CC0603KRX7R9BB104</t>
  </si>
  <si>
    <t>YAGEO(国巨)</t>
  </si>
  <si>
    <t>C0603</t>
  </si>
  <si>
    <t>C14663</t>
  </si>
  <si>
    <t>8</t>
  </si>
  <si>
    <t>100nF</t>
  </si>
  <si>
    <t>C6,C7,C56,C55,C57,C32,C33,C50,C45,C46,C26,C106,C51,C40,C61,C78,C58,C41,C54,C52,C70,C62</t>
  </si>
  <si>
    <t>22</t>
  </si>
  <si>
    <t>100nF ±10% 50V</t>
  </si>
  <si>
    <t>0603</t>
  </si>
  <si>
    <t>容值：100nF 精度：±10% 额定电压：50V 温度系数：X7R</t>
  </si>
  <si>
    <t>https://item.szlcsc.com/15331.html</t>
  </si>
  <si>
    <t>50</t>
  </si>
  <si>
    <t>8686550</t>
  </si>
  <si>
    <t>0.0757</t>
  </si>
  <si>
    <t>CC0603KRX7R9BB102</t>
  </si>
  <si>
    <t>C100040</t>
  </si>
  <si>
    <t>9</t>
  </si>
  <si>
    <t>1nF</t>
  </si>
  <si>
    <t>C8,C60</t>
  </si>
  <si>
    <t>1nF ±10% 50V</t>
  </si>
  <si>
    <t>容值：1nF 精度：±10% 额定电压：50V 温度系数：X7R</t>
  </si>
  <si>
    <t>https://item.szlcsc.com/101254.html</t>
  </si>
  <si>
    <t>1823300</t>
  </si>
  <si>
    <t>0.0605</t>
  </si>
  <si>
    <t>BZT52C12</t>
  </si>
  <si>
    <t>SOD-123_L2.7-W1.6-LS3.7-RD</t>
  </si>
  <si>
    <t>C19077410</t>
  </si>
  <si>
    <t>D7,D8</t>
  </si>
  <si>
    <t>表面贴装齐纳二极管</t>
  </si>
  <si>
    <t>SOD-123</t>
  </si>
  <si>
    <t>二极管配置：1个独立式 稳压值(标称值)：12V 反向电流(Ir)：100nA@8V 稳压值(范围值)：11.4V~12.6V 耗散功率(Pd)：350mW 阻抗(Zzt)：25Ω 阻抗(Zzk)：150Ω 工作结温范围：-55℃~+150℃ 精度：-</t>
  </si>
  <si>
    <t>二极管</t>
  </si>
  <si>
    <t>https://item.szlcsc.com/20275495.html</t>
  </si>
  <si>
    <t>598165</t>
  </si>
  <si>
    <t>0.1033</t>
  </si>
  <si>
    <t>BZT52C43</t>
  </si>
  <si>
    <t>C22395571</t>
  </si>
  <si>
    <t>11</t>
  </si>
  <si>
    <t>U7</t>
  </si>
  <si>
    <t>二极管配置：1个独立式 稳压值(标称值)：43V 反向电流(Ir)：100nA@32V 稳压值(范围值)：40.85V~45.15V 耗散功率(Pd)：350mW 阻抗(Zzt)：100Ω 阻抗(Zzk)：700Ω 工作结温范围：-55℃~+150℃ 精度：-</t>
  </si>
  <si>
    <t>https://item.szlcsc.com/23994568.html</t>
  </si>
  <si>
    <t>71600</t>
  </si>
  <si>
    <t>0.1203</t>
  </si>
  <si>
    <t>MMBT5401LT1G</t>
  </si>
  <si>
    <t>onsemi(安森美)</t>
  </si>
  <si>
    <t>SOT-23-3_L2.9-W1.3-P1.90-LS2.4-BR</t>
  </si>
  <si>
    <t>C21488</t>
  </si>
  <si>
    <t>12</t>
  </si>
  <si>
    <t>Q11</t>
  </si>
  <si>
    <t>PNP 电流:500mA 电压:150V</t>
  </si>
  <si>
    <t>SOT-23</t>
  </si>
  <si>
    <t>晶体管类型：PNP 集电极电流(Ic)：500mA 集射极击穿电压(Vceo)：150V 耗散功率(Pd)：300mW 直流电流增益(hFE)：60 特征频率(fT)：300MHz 集电极截止电流(Icbo)：50nA 集射极饱和电压(VCE(sat))：200mV 工作温度：-55℃~+150℃ 射基极击穿电压(Vebo)：5V 数量：1个PNP</t>
  </si>
  <si>
    <t>https://item.szlcsc.com/22205.html</t>
  </si>
  <si>
    <t>20</t>
  </si>
  <si>
    <t>122980</t>
  </si>
  <si>
    <t>0.2153</t>
  </si>
  <si>
    <t>SUM110P08-11L-E3</t>
  </si>
  <si>
    <t>VISHAY(威世)</t>
  </si>
  <si>
    <t>TO-263-2_L10.0-W9.1-P5.08-LS15.2-BL-2</t>
  </si>
  <si>
    <t>C2838509</t>
  </si>
  <si>
    <t>13</t>
  </si>
  <si>
    <t>Q12,Q3</t>
  </si>
  <si>
    <t>1个P沟道 耐压:80V 电流:110A</t>
  </si>
  <si>
    <t>TO-263(D2PAK)</t>
  </si>
  <si>
    <t>数量：1个P沟道 漏源电压(Vdss)：80V 连续漏极电流(Id)：110A 导通电阻(RDS(on))：14.5mΩ@4.5V 耗散功率(Pd)：375W 阈值电压(Vgs(th))：3V 栅极电荷量(Qg)：85nC@10V 输入电容(Ciss)：10.85nF 反向传输电容(Crss)：700pF 工作温度：-55℃~+175℃ 配置：- 类型：P沟道 输出电容(Coss)：800pF 栅极电压(Vgs)：±20V</t>
  </si>
  <si>
    <t>https://item.szlcsc.com/3013236.html</t>
  </si>
  <si>
    <t>800</t>
  </si>
  <si>
    <t>571</t>
  </si>
  <si>
    <t>25.76</t>
  </si>
  <si>
    <t>1块板用2颗，备用2颗；购买数量2→4</t>
  </si>
  <si>
    <t>FRC0603F2202TS</t>
  </si>
  <si>
    <t>FOJAN(富捷)</t>
  </si>
  <si>
    <t>R0603</t>
  </si>
  <si>
    <t>C2907015</t>
  </si>
  <si>
    <t>14</t>
  </si>
  <si>
    <t>22kΩ</t>
  </si>
  <si>
    <t>R20</t>
  </si>
  <si>
    <t>厚膜电阻 22kΩ ±1% 100mW</t>
  </si>
  <si>
    <t>电阻类型：厚膜电阻 阻值：22kΩ 精度：±1% 功率：100mW 工作电压：75V 温度系数：±100ppm/℃ 工作温度：-55℃~+155℃</t>
  </si>
  <si>
    <t>https://item.szlcsc.com/3180528.html</t>
  </si>
  <si>
    <t>1921300</t>
  </si>
  <si>
    <t>0.01368</t>
  </si>
  <si>
    <t>PA63V220M10x15</t>
  </si>
  <si>
    <t>CAP-TH_BD10.0-P5.00-D0.6-FD_2</t>
  </si>
  <si>
    <t>C46550454</t>
  </si>
  <si>
    <t>15</t>
  </si>
  <si>
    <t>220uF</t>
  </si>
  <si>
    <t>C17,C18</t>
  </si>
  <si>
    <t>220uF ±20% 63V</t>
  </si>
  <si>
    <t>插件,D10xL15mm</t>
  </si>
  <si>
    <t>容值：220uF 精度：±20% 额定电压：63V 纹波电流：3.1A@100kHz 等效串联电阻(ESR)：18mΩ@100kHz 类型：聚合物 脚间距：5mm 电容体直径：10mm 电容体长度：15mm 工作寿命：2000hrs@105℃ 工作温度：-55℃~+105℃ 极性类型：有极性</t>
  </si>
  <si>
    <t>https://item.szlcsc.com/48680148.html</t>
  </si>
  <si>
    <t>400</t>
  </si>
  <si>
    <t>18622</t>
  </si>
  <si>
    <t>3.2395</t>
  </si>
  <si>
    <t>NCD0603R1</t>
  </si>
  <si>
    <t>国星光电</t>
  </si>
  <si>
    <t>LED0603-RD_RED</t>
  </si>
  <si>
    <t>C84263</t>
  </si>
  <si>
    <t>16</t>
  </si>
  <si>
    <t>L1,L5,L3,L4</t>
  </si>
  <si>
    <t>片式发光二极管</t>
  </si>
  <si>
    <t>灯头类型：1mmx0.8mm方形灯头 发光颜色：红色 正向压降(Vf)：1.6V~2.6V 功率：65mW 测试电流：25mA 波长：615nm~630nm 峰值波长：630nm 二极管配置：独立二极管 透镜颜色：无色透明透镜 色温：- 发光强度：220mcd 发光角度：130° 载带方式：正贴 工作温度：-30℃~+85℃ 半波宽：15nm 发光材料：- 光通量(25℃)：- 抗静电能力：-</t>
  </si>
  <si>
    <t>光电器件</t>
  </si>
  <si>
    <t>https://item.szlcsc.com/85432.html</t>
  </si>
  <si>
    <t>1722250</t>
  </si>
  <si>
    <t>0.0648</t>
  </si>
  <si>
    <t>BSC014N06NS</t>
  </si>
  <si>
    <t>Infineon(英飞凌)</t>
  </si>
  <si>
    <t>POWERVDFN-8_L6.2-W5.2-P1.27-LS6.0-BL</t>
  </si>
  <si>
    <t>C113391</t>
  </si>
  <si>
    <t>17</t>
  </si>
  <si>
    <t>Q4</t>
  </si>
  <si>
    <t>1个N沟道 耐压:60V 电流:100A</t>
  </si>
  <si>
    <t>TDSON-8-FL</t>
  </si>
  <si>
    <t>数量：1个N沟道 漏源电压(Vdss)：60V 连续漏极电流(Id)：100A 导通电阻(RDS(on))：1.45mΩ@10V 耗散功率(Pd)：156W 阈值电压(Vgs(th))：3.3V 栅极电荷量(Qg)：104nC@10V 输入电容(Ciss)：8.125nF 反向传输电容(Crss)：118pF 工作温度：-55℃~+150℃ 配置：- 类型：N沟道 输出电容(Coss)：1.875nF 栅极电压(Vgs)：±20V</t>
  </si>
  <si>
    <t>https://item.szlcsc.com/114626.html</t>
  </si>
  <si>
    <t>30000</t>
  </si>
  <si>
    <t>9.12</t>
  </si>
  <si>
    <t>1块板用1颗，备用1颗；购买数量1→2</t>
  </si>
  <si>
    <t>STM32G431RBT6</t>
  </si>
  <si>
    <t>ST(意法半导体)</t>
  </si>
  <si>
    <t>LQFP-64_L10.0-W10.0-P0.50-LS12.0-BL</t>
  </si>
  <si>
    <t>C431633</t>
  </si>
  <si>
    <t>18</t>
  </si>
  <si>
    <t>U2</t>
  </si>
  <si>
    <t>带DSP和FPU的170MHz主流ARM Cortex-M4 MCU，具有128 KB Flash存储器、数学加速器和中等模拟电平集成</t>
  </si>
  <si>
    <t>LQFP-64(10x10)</t>
  </si>
  <si>
    <t>CPU内核：ARM Cortex-M4F CPU最大主频：170MHz CPU位数：32 Bit 程序存储容量：128KB 程序存储器类型：FLASH RAM容量：32KB EEPROM容量：- I/O数量：52 ADC(位数)：12bit DAC(位数)：12bit 振荡器类型：内置 工作电压：1.71V~3.6V 工作温度：-40℃~+85℃</t>
  </si>
  <si>
    <t>单片机/微控制器</t>
  </si>
  <si>
    <t>https://item.szlcsc.com/428111.html</t>
  </si>
  <si>
    <t>160</t>
  </si>
  <si>
    <t>468</t>
  </si>
  <si>
    <t>30.43</t>
  </si>
  <si>
    <t>CC0603FRNPO9BN330</t>
  </si>
  <si>
    <t>C519485</t>
  </si>
  <si>
    <t>19</t>
  </si>
  <si>
    <t>33pF</t>
  </si>
  <si>
    <t>C35,C34</t>
  </si>
  <si>
    <t>33pF ±1% 50V</t>
  </si>
  <si>
    <t>容值：33pF 精度：±1% 额定电压：50V 温度系数：NP0</t>
  </si>
  <si>
    <t>https://item.szlcsc.com/536156.html</t>
  </si>
  <si>
    <t>38400</t>
  </si>
  <si>
    <t>0.1178</t>
  </si>
  <si>
    <t>CC0603JRNPO9BN560</t>
  </si>
  <si>
    <t>C107053</t>
  </si>
  <si>
    <t>56pF</t>
  </si>
  <si>
    <t>C25</t>
  </si>
  <si>
    <t>56pF ±5% 50V</t>
  </si>
  <si>
    <t>容值：56pF 精度：±5% 额定电压：50V 温度系数：NP0</t>
  </si>
  <si>
    <t>https://item.szlcsc.com/108269.html</t>
  </si>
  <si>
    <t>720900</t>
  </si>
  <si>
    <t>0.030616</t>
  </si>
  <si>
    <t>CL10B332KB8NNNC</t>
  </si>
  <si>
    <t>SAMSUNG(三星)</t>
  </si>
  <si>
    <t>C1613</t>
  </si>
  <si>
    <t>21</t>
  </si>
  <si>
    <t>3.3nF</t>
  </si>
  <si>
    <t>C22</t>
  </si>
  <si>
    <t>3.3nF ±10% 50V</t>
  </si>
  <si>
    <t>容值：3.3nF 精度：±10% 额定电压：50V 温度系数：X7R</t>
  </si>
  <si>
    <t>https://item.szlcsc.com/1965.html</t>
  </si>
  <si>
    <t>162380</t>
  </si>
  <si>
    <t>0.050292</t>
  </si>
  <si>
    <t>CL10C222JB8NNNC</t>
  </si>
  <si>
    <t>C33353</t>
  </si>
  <si>
    <t>2.2nF</t>
  </si>
  <si>
    <t>C21</t>
  </si>
  <si>
    <t>2.2nF ±5% 50V</t>
  </si>
  <si>
    <t>容值：2.2nF 精度：±5% 额定电压：50V 温度系数：C0G</t>
  </si>
  <si>
    <t>https://item.szlcsc.com/34318.html</t>
  </si>
  <si>
    <t>17000</t>
  </si>
  <si>
    <t>0.276309</t>
  </si>
  <si>
    <t>XC6210B332MR</t>
  </si>
  <si>
    <t>TOREX(特瑞仕)</t>
  </si>
  <si>
    <t>TSOT-23-5_L2.9-W1.6-P0.95-LS2.8-BR</t>
  </si>
  <si>
    <t>C424705</t>
  </si>
  <si>
    <t>U3</t>
  </si>
  <si>
    <t>3.3V 900mA 6V</t>
  </si>
  <si>
    <t>SOT-25</t>
  </si>
  <si>
    <t>输出极性：正极 工作电压：6V 输出电压：3.3V 输出电流：900mA 电源纹波抑制比(PSRR)：60dB@(1kHz) 压差：75mV@(100mA) 静态电流(Iq)：35uA 噪声：- 功能特性：使能控制；过流保护；短路保护；热关断 工作温度：-40℃~+85℃@(Ta) 输出类型：固定 输出通道数：1</t>
  </si>
  <si>
    <t>电源管理</t>
  </si>
  <si>
    <t>https://item.szlcsc.com/418424.html</t>
  </si>
  <si>
    <t>352</t>
  </si>
  <si>
    <t>2.47</t>
  </si>
  <si>
    <t>FRC0603F1001TS</t>
  </si>
  <si>
    <t>C2907002</t>
  </si>
  <si>
    <t>24</t>
  </si>
  <si>
    <t>R26,R14,R60,R59,R40</t>
  </si>
  <si>
    <t>厚膜电阻 1kΩ ±1% 100mW</t>
  </si>
  <si>
    <t>电阻类型：厚膜电阻 阻值：1kΩ 精度：±1% 功率：100mW 工作电压：75V 温度系数：±100ppm/℃ 工作温度：-55℃~+155℃</t>
  </si>
  <si>
    <t>https://item.szlcsc.com/3180515.html</t>
  </si>
  <si>
    <t>12577000</t>
  </si>
  <si>
    <t>0.016245</t>
  </si>
  <si>
    <t>0603WAF0000T5E</t>
  </si>
  <si>
    <t>C21189</t>
  </si>
  <si>
    <t>25</t>
  </si>
  <si>
    <t>0Ω</t>
  </si>
  <si>
    <t>R34,R33,R27</t>
  </si>
  <si>
    <t>厚膜电阻 0Ω ±1% 100mW</t>
  </si>
  <si>
    <t>电阻类型：厚膜电阻 阻值：0Ω 精度：±1% 功率：100mW 工作电压：75V 温度系数：- 工作温度：-55℃~+155℃</t>
  </si>
  <si>
    <t>https://item.szlcsc.com/21903.html</t>
  </si>
  <si>
    <t>13746800</t>
  </si>
  <si>
    <t>0.0158</t>
  </si>
  <si>
    <t>FRC0603F1002TS</t>
  </si>
  <si>
    <t>C2906982</t>
  </si>
  <si>
    <t>26</t>
  </si>
  <si>
    <t>10kΩ</t>
  </si>
  <si>
    <t>R25,R38,R31,R67,R61,R62,R63,R41,R2</t>
  </si>
  <si>
    <t>厚膜电阻 10kΩ ±1% 100mW</t>
  </si>
  <si>
    <t>电阻类型：厚膜电阻 阻值：10kΩ 精度：±1% 功率：100mW 工作电压：75V 温度系数：±100ppm/℃ 工作温度：-55℃~+155℃</t>
  </si>
  <si>
    <t>https://item.szlcsc.com/3180495.html</t>
  </si>
  <si>
    <t>5314700</t>
  </si>
  <si>
    <t>0.02109</t>
  </si>
  <si>
    <t>0603WAF1202T5E</t>
  </si>
  <si>
    <t>C22790</t>
  </si>
  <si>
    <t>27</t>
  </si>
  <si>
    <t>12kΩ</t>
  </si>
  <si>
    <t>R39,R32,R5,R46,R51</t>
  </si>
  <si>
    <t>厚膜电阻 12kΩ ±1% 100mW</t>
  </si>
  <si>
    <t>电阻类型：厚膜电阻 阻值：12kΩ 精度：±1% 功率：100mW 工作电压：75V 温度系数：±100ppm/℃ 工作温度：-55℃~+155℃</t>
  </si>
  <si>
    <t>https://item.szlcsc.com/23517.html</t>
  </si>
  <si>
    <t>987000</t>
  </si>
  <si>
    <t>0.0201</t>
  </si>
  <si>
    <t>0603WAF6202T5E</t>
  </si>
  <si>
    <t>C23221</t>
  </si>
  <si>
    <t>28</t>
  </si>
  <si>
    <t>62kΩ</t>
  </si>
  <si>
    <t>R36</t>
  </si>
  <si>
    <t>厚膜电阻 62kΩ ±1% 100mW</t>
  </si>
  <si>
    <t>电阻类型：厚膜电阻 阻值：62kΩ 精度：±1% 功率：100mW 工作电压：75V 温度系数：±100ppm/℃ 工作温度：-55℃~+155℃</t>
  </si>
  <si>
    <t>https://item.szlcsc.com/23948.html</t>
  </si>
  <si>
    <t>414600</t>
  </si>
  <si>
    <t>0.0192</t>
  </si>
  <si>
    <t>JW5026</t>
  </si>
  <si>
    <t>Joulwatt(杰华特)</t>
  </si>
  <si>
    <t>SOT-23-6_L2.9-W1.6-P0.95-LS2.8-BR</t>
  </si>
  <si>
    <t>C185109</t>
  </si>
  <si>
    <t>29</t>
  </si>
  <si>
    <t>U5</t>
  </si>
  <si>
    <t>降压型 1A 4.7V~40V</t>
  </si>
  <si>
    <t>SOT-23-6</t>
  </si>
  <si>
    <t>功能类型：降压型 工作电压：4.7V~40V 输出电压：800mV~37V 输出电流：1A 开关频率：750kHz~1.25MHz 工作温度：-40℃~+125℃@(TJ) 同步整流：是 输出通道数：1 拓扑结构：降压式 静态电流(Iq)：40uA 开关管(内置/外置)：内置 输出类型：可调 功能特性：逐波限流；过流保护</t>
  </si>
  <si>
    <t>https://item.szlcsc.com/196514.html</t>
  </si>
  <si>
    <t>7.71</t>
  </si>
  <si>
    <t>MPIH252010-4R7M-LF</t>
  </si>
  <si>
    <t>microgate(麦捷科技)</t>
  </si>
  <si>
    <t>IND-SMD_L2.5-W2.0_SWPA252012S</t>
  </si>
  <si>
    <t>C490449</t>
  </si>
  <si>
    <t>30</t>
  </si>
  <si>
    <t>4.7uH</t>
  </si>
  <si>
    <t>L7</t>
  </si>
  <si>
    <t>4.7uH ±20%</t>
  </si>
  <si>
    <t>1008</t>
  </si>
  <si>
    <t>电感值：4.7uH 精度：±20% 额定电流：1A 饱和电流(Isat)：1.15A 直流电阻(DCR)：275mΩ</t>
  </si>
  <si>
    <t>电感/线圈/变压器</t>
  </si>
  <si>
    <t>https://item.szlcsc.com/500954.html</t>
  </si>
  <si>
    <t>2000</t>
  </si>
  <si>
    <t>760</t>
  </si>
  <si>
    <t>0.2721</t>
  </si>
  <si>
    <t>CYA0650-68UH</t>
  </si>
  <si>
    <t>SHOU HAN(首韩)</t>
  </si>
  <si>
    <t>IND-SMD_L7.2-W6.6_GPSR07X0</t>
  </si>
  <si>
    <t>C5189964</t>
  </si>
  <si>
    <t>31</t>
  </si>
  <si>
    <t>L2</t>
  </si>
  <si>
    <t>68uH ±20%</t>
  </si>
  <si>
    <t>SMD,7.2x6.6mm</t>
  </si>
  <si>
    <t>电感值：68uH 精度：±20% 额定电流：1.8A 饱和电流(Isat)：2A 直流电阻(DCR)：315mΩ</t>
  </si>
  <si>
    <t>https://item.szlcsc.com/5870261.html</t>
  </si>
  <si>
    <t>26555</t>
  </si>
  <si>
    <t>1.83521</t>
  </si>
  <si>
    <t>0603WAF4992T5E</t>
  </si>
  <si>
    <t>C23184</t>
  </si>
  <si>
    <t>32</t>
  </si>
  <si>
    <t>49.9kΩ</t>
  </si>
  <si>
    <t>R29</t>
  </si>
  <si>
    <t>厚膜电阻 49.9kΩ ±1% 100mW</t>
  </si>
  <si>
    <t>电阻类型：厚膜电阻 阻值：49.9kΩ 精度：±1% 功率：100mW 工作电压：75V 温度系数：±100ppm/℃ 工作温度：-55℃~+155℃</t>
  </si>
  <si>
    <t>https://item.szlcsc.com/23911.html</t>
  </si>
  <si>
    <t>1789100</t>
  </si>
  <si>
    <t>0.0202</t>
  </si>
  <si>
    <t>FRC0603F4533TS</t>
  </si>
  <si>
    <t>C3013202</t>
  </si>
  <si>
    <t>33</t>
  </si>
  <si>
    <t>453kΩ</t>
  </si>
  <si>
    <t>R16,R13</t>
  </si>
  <si>
    <t>厚膜电阻 453kΩ ±1% 100mW</t>
  </si>
  <si>
    <t>电阻类型：厚膜电阻 阻值：453kΩ 精度：±1% 功率：100mW 工作电压：75V 温度系数：±100ppm/℃ 工作温度：-55℃~+155℃</t>
  </si>
  <si>
    <t>https://item.szlcsc.com/3519486.html</t>
  </si>
  <si>
    <t>306100</t>
  </si>
  <si>
    <t>0.015675</t>
  </si>
  <si>
    <t>CGA0805X5R106K500MT</t>
  </si>
  <si>
    <t>HRE(芯声)</t>
  </si>
  <si>
    <t>C0805</t>
  </si>
  <si>
    <t>C6119889</t>
  </si>
  <si>
    <t>34</t>
  </si>
  <si>
    <t>C28,C27,C37,C38,C39,C66,C67,C68,C44</t>
  </si>
  <si>
    <t>10uF ±10% 50V</t>
  </si>
  <si>
    <t>容值：10uF 精度：±10% 额定电压：50V 温度系数：X5R</t>
  </si>
  <si>
    <t>https://item.szlcsc.com/7062595.html</t>
  </si>
  <si>
    <t>35595</t>
  </si>
  <si>
    <t>0.7647</t>
  </si>
  <si>
    <t>1块板用9颗，备用6颗；购买数量10→15</t>
  </si>
  <si>
    <t>CGA0603X5R105K500JT</t>
  </si>
  <si>
    <t>C6119852</t>
  </si>
  <si>
    <t>35</t>
  </si>
  <si>
    <t>1uF</t>
  </si>
  <si>
    <t>C1,C77,C53,C69,C30,C31,C88,C89</t>
  </si>
  <si>
    <t>无法匹配</t>
  </si>
  <si>
    <t>LM5164DDAR</t>
  </si>
  <si>
    <t>TI(德州仪器)</t>
  </si>
  <si>
    <t>SO-8_L4.9-W3.9-P1.27-LS6.0-BL-EP</t>
  </si>
  <si>
    <t>C477928</t>
  </si>
  <si>
    <t>36</t>
  </si>
  <si>
    <t>U6</t>
  </si>
  <si>
    <t>降压型 1A 6V~100V</t>
  </si>
  <si>
    <t>SO-8-EP</t>
  </si>
  <si>
    <t>功能类型：降压型 工作电压：6V~100V 输出电压：- 输出电流：1A 开关频率：1MHz 工作温度：-40℃~+150℃@(TJ) 同步整流：是 输出通道数：1 拓扑结构：降压式 静态电流(Iq)：10.5uA 开关管(内置/外置)：内置 输出类型：可调 功能特性：轻载高效模式；内置LDO稳压器；逐波限流；过流保护；工作状态指示</t>
  </si>
  <si>
    <t>https://item.szlcsc.com/485030.html</t>
  </si>
  <si>
    <t>2500</t>
  </si>
  <si>
    <t>867</t>
  </si>
  <si>
    <t>12.16</t>
  </si>
  <si>
    <t>CL10B104KC8NNNC</t>
  </si>
  <si>
    <t>C15725</t>
  </si>
  <si>
    <t>37</t>
  </si>
  <si>
    <t>C24,C71</t>
  </si>
  <si>
    <t>100nF ±10% 100V</t>
  </si>
  <si>
    <t>容值：100nF 精度：±10% 额定电压：100V 温度系数：X7R</t>
  </si>
  <si>
    <t>https://item.szlcsc.com/16407.html</t>
  </si>
  <si>
    <t>1306550</t>
  </si>
  <si>
    <t>0.0812</t>
  </si>
  <si>
    <t>LP5907QMFX-3.3Q1</t>
  </si>
  <si>
    <t>SOT-23-5_L3.0-W1.7-P0.95-LS2.8-BR</t>
  </si>
  <si>
    <t>C130005</t>
  </si>
  <si>
    <t>38</t>
  </si>
  <si>
    <t>U4</t>
  </si>
  <si>
    <t>3.3V 250mA 5.5V</t>
  </si>
  <si>
    <t>SOT-23-5</t>
  </si>
  <si>
    <t>输出极性：正极 工作电压：5.5V 输出电压：3.3V 输出电流：250mA 电源纹波抑制比(PSRR)：82dB@(1kHz) 压差：120mV@(250mA) 静态电流(Iq)：12uA 噪声：10uVrms 功能特性：热关断；使能控制；输出放电；短路保护；输入欠压保护 工作温度：-40℃~+125℃@(Tj) 输出类型：固定 输出通道数：1</t>
  </si>
  <si>
    <t>https://item.szlcsc.com/141292.html</t>
  </si>
  <si>
    <t>6241</t>
  </si>
  <si>
    <t>4.38</t>
  </si>
  <si>
    <t>TS-KG02S</t>
  </si>
  <si>
    <t>HANBO(汉博)</t>
  </si>
  <si>
    <t>SW-SMD_4P-L6.0-W6.0-P4.50-LS8.5</t>
  </si>
  <si>
    <t>C410366</t>
  </si>
  <si>
    <t>39</t>
  </si>
  <si>
    <t>K1,K2</t>
  </si>
  <si>
    <t>6*6*4.3mm 立贴 轻触开关</t>
  </si>
  <si>
    <t>SMD-4P,6x6mm</t>
  </si>
  <si>
    <t>电路结构：单刀单掷 按钮形状：圆形按钮 安装方式：立贴 开关长度：6mm 开关宽度：6mm 开关高度：4.3mm 带支架：不带支架 触点电流：50mA 额定电压：12V 带灯：无 引脚样式：鸥翼型 工作寿命：- 工作温度：-20℃~+70℃</t>
  </si>
  <si>
    <t>按键/开关</t>
  </si>
  <si>
    <t>https://item.szlcsc.com/400809.html</t>
  </si>
  <si>
    <t>51980</t>
  </si>
  <si>
    <t>0.237215</t>
  </si>
  <si>
    <t>NCD0603G1</t>
  </si>
  <si>
    <t>LED0603-RD_1</t>
  </si>
  <si>
    <t>C84267</t>
  </si>
  <si>
    <t>40</t>
  </si>
  <si>
    <t>L10</t>
  </si>
  <si>
    <t>灯头类型：1mmx0.8mm方形灯头 发光颜色：翠绿色 正向压降(Vf)：2.6V~3.6V 功率：72mW 测试电流：20mA 波长：515nm~530nm 峰值波长：520nm 二极管配置：独立二极管 透镜颜色：无色透明透镜 色温：- 发光强度：900mcd 发光角度：130° 载带方式：正贴 工作温度：-30℃~+85℃ 半波宽：30nm 发光材料：- 光通量(25℃)：- 抗静电能力：-</t>
  </si>
  <si>
    <t>https://item.szlcsc.com/85436.html</t>
  </si>
  <si>
    <t>591900</t>
  </si>
  <si>
    <t>0.0976</t>
  </si>
  <si>
    <t>WAFER-GH1.25-7PWB</t>
  </si>
  <si>
    <t>XUNPU(讯普)</t>
  </si>
  <si>
    <t>CONN-SMD_7P-P1.25_FWF12514-S07B24W5M</t>
  </si>
  <si>
    <t>C3029382</t>
  </si>
  <si>
    <t>41</t>
  </si>
  <si>
    <t>CN9</t>
  </si>
  <si>
    <t>1x7P 间距:1.25mm 卧贴 系列:GH</t>
  </si>
  <si>
    <t>SMD,P=1.25mm,卧贴</t>
  </si>
  <si>
    <t>插针结构：1x7P 间距：1.25mm 安装方式：卧贴 参考系列：GH 总PIN数：7P 排数：1 每排PIN数：7 行距：- 额定电流：1A 触头材质：黄铜 触头镀层：锡 工作温度：-25℃~+85℃ 额定电压：125V 塑料材质：LCP 阻燃等级：- 附加特征：辅助焊脚 颜色：米色 Z轴-板上高度：4.35mm X轴-板上底边长度(间距线)：12mm Y轴-板上底边宽度：5mm</t>
  </si>
  <si>
    <t>连接器</t>
  </si>
  <si>
    <t>https://item.szlcsc.com/3561394.html</t>
  </si>
  <si>
    <t>7985</t>
  </si>
  <si>
    <t>1.02524</t>
  </si>
  <si>
    <t>FRC0603F22R0TS</t>
  </si>
  <si>
    <t>C2930077</t>
  </si>
  <si>
    <t>42</t>
  </si>
  <si>
    <t>22Ω</t>
  </si>
  <si>
    <t>R50,R64,R65,R66,R35,R44,R54,R68,R69</t>
  </si>
  <si>
    <t>厚膜电阻 22Ω ±1% 100mW</t>
  </si>
  <si>
    <t>电阻类型：厚膜电阻 阻值：22Ω 精度：±1% 功率：100mW 工作电压：75V 温度系数：±100ppm/℃ 工作温度：-55℃~+155℃</t>
  </si>
  <si>
    <t>https://item.szlcsc.com/3267010.html</t>
  </si>
  <si>
    <t>2294500</t>
  </si>
  <si>
    <t>0.014915</t>
  </si>
  <si>
    <t>ESD9B5.0ST5G</t>
  </si>
  <si>
    <t>SOD-923_L0.8-W0.6-LS1.0-BI</t>
  </si>
  <si>
    <t>C111566</t>
  </si>
  <si>
    <t>43</t>
  </si>
  <si>
    <t>D1,D2,D3,D4,D11</t>
  </si>
  <si>
    <t>双向TVS 5V截止</t>
  </si>
  <si>
    <t>SOD-923</t>
  </si>
  <si>
    <t>极性：双向 反向截止电压(Vrwm)：5V 钳位电压：15V 峰值脉冲功率(Ppp)：- 击穿电压(VBR)：7.8V 反向电流(Ir)：100nA 通道数：单路 工作温度：-55℃~+150℃ 防护等级：IEC 61000-4-2 类型：TVS Cj-结电容：15pF</t>
  </si>
  <si>
    <t>https://item.szlcsc.com/112793.html</t>
  </si>
  <si>
    <t>8000</t>
  </si>
  <si>
    <t>322400</t>
  </si>
  <si>
    <t>0.2799</t>
  </si>
  <si>
    <t>2.54-2A-LT</t>
  </si>
  <si>
    <t>CAX(创都)</t>
  </si>
  <si>
    <t>CONN-SMD_2P-P2.54_XH2.54-2AB</t>
  </si>
  <si>
    <t>C722695</t>
  </si>
  <si>
    <t>44</t>
  </si>
  <si>
    <t>CN10</t>
  </si>
  <si>
    <t>1x2P 间距:2.54mm 立贴 系列:XH</t>
  </si>
  <si>
    <t>SMD,P=2.54mm</t>
  </si>
  <si>
    <t>插针结构：1x2P 间距：2.54mm 安装方式：立贴 参考系列：XH 总PIN数：2P 排数：1 每排PIN数：2 行距：- 额定电流：500mA 触头材质：磷铜 触头镀层：锡 工作温度：-25℃~+85℃ 额定电压：50V 塑料材质：LCP 颜色：米色 Z轴-板上高度：7.9mm Y轴-板上底边宽度：6mm</t>
  </si>
  <si>
    <t>https://item.szlcsc.com/766902.html</t>
  </si>
  <si>
    <t>58</t>
  </si>
  <si>
    <t>32857</t>
  </si>
  <si>
    <t>0.30628</t>
  </si>
  <si>
    <t>RT0805BRD0710KL</t>
  </si>
  <si>
    <t>C110775</t>
  </si>
  <si>
    <t>45</t>
  </si>
  <si>
    <t>R10</t>
  </si>
  <si>
    <t>薄膜电阻 10kΩ ±0.1% 125mW</t>
  </si>
  <si>
    <t>电阻类型：薄膜电阻 阻值：10kΩ 精度：±0.1% 功率：125mW 工作电压：150V 温度系数：±25ppm/℃ 工作温度：-55℃~+155℃</t>
  </si>
  <si>
    <t>https://item.szlcsc.com/112000.html</t>
  </si>
  <si>
    <t>734240</t>
  </si>
  <si>
    <t>0.25726</t>
  </si>
  <si>
    <t>0603WAF2200T5E</t>
  </si>
  <si>
    <t>C22962</t>
  </si>
  <si>
    <t>46</t>
  </si>
  <si>
    <t>220Ω</t>
  </si>
  <si>
    <t>R55</t>
  </si>
  <si>
    <t>厚膜电阻 220Ω ±1% 100mW</t>
  </si>
  <si>
    <t>电阻类型：厚膜电阻 阻值：220Ω 精度：±1% 功率：100mW 工作电压：75V 温度系数：±100ppm/℃ 工作温度：-55℃~+155℃</t>
  </si>
  <si>
    <t>https://item.szlcsc.com/23689.html</t>
  </si>
  <si>
    <t>933600</t>
  </si>
  <si>
    <t>0.0307</t>
  </si>
  <si>
    <t>X32258MSB4SI</t>
  </si>
  <si>
    <t>YXC(扬兴晶振)</t>
  </si>
  <si>
    <t>CRYSTAL-SMD_4P-L3.2-W2.5-BL</t>
  </si>
  <si>
    <t>C2682774</t>
  </si>
  <si>
    <t>47</t>
  </si>
  <si>
    <t>8MHz</t>
  </si>
  <si>
    <t>X1</t>
  </si>
  <si>
    <t>YSX321SL 8MHZ 4P 3225 20PF ±10PPM -40~85℃ (±20PPM)</t>
  </si>
  <si>
    <t>SMD3225-4P</t>
  </si>
  <si>
    <t>晶振类型：贴片晶振 频率：8MHz 常温频差：±10ppm 负载电容：20pF 频率稳定度：±20ppm 等效串联电阻(ESR)：180Ω 工作温度：-40℃~+85℃</t>
  </si>
  <si>
    <t>振荡器/谐振器</t>
  </si>
  <si>
    <t>https://item.szlcsc.com/2777871.html</t>
  </si>
  <si>
    <t>72900</t>
  </si>
  <si>
    <t>1.1883</t>
  </si>
  <si>
    <t>LT3763EFE#PBF</t>
  </si>
  <si>
    <t>ADI(亚德诺)</t>
  </si>
  <si>
    <t>TSSOP-28_L9.7-W4.4-P0.65-LS6.4-BL-EP-1</t>
  </si>
  <si>
    <t>C459912</t>
  </si>
  <si>
    <t>48</t>
  </si>
  <si>
    <t>U1</t>
  </si>
  <si>
    <t>60V 高电流降压型 LED 驱动器控制器</t>
  </si>
  <si>
    <t>TSSOP-28-EP</t>
  </si>
  <si>
    <t>类型：DC-DC 工作电压(DC)：6V~60V 开关频率：200kHz~1MHz 通道数：1 输出电压：55V 输出电流：20A 调光：PWM 功能特性：过压保护(OVP)；LED开路保护；内置软启动；过温保护(OTP)；短路保护(SCP) 拓扑结构：降压 工作温度：-40℃~+125℃ 开关管(内置/外置)：外置 恒流精度：6%</t>
  </si>
  <si>
    <t>数码管驱动/LED驱动</t>
  </si>
  <si>
    <t>https://item.szlcsc.com/464238.html</t>
  </si>
  <si>
    <t>317</t>
  </si>
  <si>
    <t>85.27</t>
  </si>
  <si>
    <t>RT0603BRD0710KL</t>
  </si>
  <si>
    <t>C95204</t>
  </si>
  <si>
    <t>49</t>
  </si>
  <si>
    <t>R49</t>
  </si>
  <si>
    <t>薄膜电阻 10kΩ ±0.1% 100mW</t>
  </si>
  <si>
    <t>电阻类型：薄膜电阻 阻值：10kΩ 精度：±0.1% 功率：100mW 工作电压：75V 温度系数：±25ppm/℃ 工作温度：-55℃~+155℃</t>
  </si>
  <si>
    <t>https://item.szlcsc.com/96405.html</t>
  </si>
  <si>
    <t>243240</t>
  </si>
  <si>
    <t>0.18894</t>
  </si>
  <si>
    <t>FRC0603F6341TS</t>
  </si>
  <si>
    <t>C2930120</t>
  </si>
  <si>
    <t>6.34kΩ</t>
  </si>
  <si>
    <t>R53</t>
  </si>
  <si>
    <t>厚膜电阻 6.34kΩ ±1% 100mW</t>
  </si>
  <si>
    <t>电阻类型：厚膜电阻 阻值：6.34kΩ 精度：±1% 功率：100mW 工作电压：75V 温度系数：±100ppm/℃ 工作温度：-55℃~+155℃</t>
  </si>
  <si>
    <t>https://item.szlcsc.com/3267053.html</t>
  </si>
  <si>
    <t>50000</t>
  </si>
  <si>
    <t>0.0133</t>
  </si>
  <si>
    <t>0603WAF2202T5E</t>
  </si>
  <si>
    <t>C31850</t>
  </si>
  <si>
    <t>51</t>
  </si>
  <si>
    <t>R3</t>
  </si>
  <si>
    <t>https://item.szlcsc.com/32812.html</t>
  </si>
  <si>
    <t>3402400</t>
  </si>
  <si>
    <t>0.0272</t>
  </si>
  <si>
    <t>FCC0603B334K500CT</t>
  </si>
  <si>
    <t>C7419419</t>
  </si>
  <si>
    <t>52</t>
  </si>
  <si>
    <t>330nF</t>
  </si>
  <si>
    <t>C72</t>
  </si>
  <si>
    <t>330nF ±10% 50V</t>
  </si>
  <si>
    <t>容值：330nF 精度：±10% 额定电压：50V 温度系数：X7R 工作温度：-55℃~+125℃</t>
  </si>
  <si>
    <t>https://item.szlcsc.com/8393401.html</t>
  </si>
  <si>
    <t>224800</t>
  </si>
  <si>
    <t>0.090345</t>
  </si>
  <si>
    <t>FRC0603F2213TS</t>
  </si>
  <si>
    <t>C7467463</t>
  </si>
  <si>
    <t>53</t>
  </si>
  <si>
    <t>221kΩ</t>
  </si>
  <si>
    <t>R22</t>
  </si>
  <si>
    <t>厚膜电阻 221kΩ ±1% 100mW</t>
  </si>
  <si>
    <t>电阻类型：厚膜电阻 阻值：221kΩ 精度：±1% 功率：100mW 工作电压：75V 温度系数：±100ppm/℃ 工作温度：-55℃~+155℃</t>
  </si>
  <si>
    <t>https://item.szlcsc.com/8514079.html</t>
  </si>
  <si>
    <t>41200</t>
  </si>
  <si>
    <t>0.012635</t>
  </si>
  <si>
    <t>FRC0603F10R0TS</t>
  </si>
  <si>
    <t>C2906983</t>
  </si>
  <si>
    <t>54</t>
  </si>
  <si>
    <t>10Ω</t>
  </si>
  <si>
    <t>R23,R24</t>
  </si>
  <si>
    <t>厚膜电阻 10Ω ±1% 100mW</t>
  </si>
  <si>
    <t>电阻类型：厚膜电阻 阻值：10Ω 精度：±1% 功率：100mW 工作电压：75V 温度系数：±100ppm/℃ 工作温度：-55℃~+155℃</t>
  </si>
  <si>
    <t>https://item.szlcsc.com/3180496.html</t>
  </si>
  <si>
    <t>2761400</t>
  </si>
  <si>
    <t>0.014345</t>
  </si>
  <si>
    <t>CC0603KRX7R9BB333</t>
  </si>
  <si>
    <t>C106856</t>
  </si>
  <si>
    <t>55</t>
  </si>
  <si>
    <t>33nF</t>
  </si>
  <si>
    <t>C49</t>
  </si>
  <si>
    <t>33nF ±10% 50V</t>
  </si>
  <si>
    <t>容值：33nF 精度：±10% 额定电压：50V 温度系数：X7R</t>
  </si>
  <si>
    <t>https://item.szlcsc.com/108072.html</t>
  </si>
  <si>
    <t>2451700</t>
  </si>
  <si>
    <t>0.0371</t>
  </si>
  <si>
    <t>0603WAF1203T5E</t>
  </si>
  <si>
    <t>C25808</t>
  </si>
  <si>
    <t>56</t>
  </si>
  <si>
    <t>120kΩ</t>
  </si>
  <si>
    <t>R52</t>
  </si>
  <si>
    <t>厚膜电阻 120kΩ ±1% 100mW</t>
  </si>
  <si>
    <t>电阻类型：厚膜电阻 阻值：120kΩ 精度：±1% 功率：100mW 工作电压：75V 温度系数：±100ppm/℃ 工作温度：-55℃~+155℃</t>
  </si>
  <si>
    <t>https://item.szlcsc.com/26551.html</t>
  </si>
  <si>
    <t>403100</t>
  </si>
  <si>
    <t>0.0129</t>
  </si>
  <si>
    <t>HNTC0603-104F3950FB</t>
  </si>
  <si>
    <t>C49247668</t>
  </si>
  <si>
    <t>57</t>
  </si>
  <si>
    <t>R56</t>
  </si>
  <si>
    <t>片式NTC热敏电阻</t>
  </si>
  <si>
    <t>功率：100mW 阻值：100kΩ 电阻精度：±1% B值精度：±1% B值(25℃/50℃)：3950K B值(25℃/75℃)：- B值(25℃/85℃)：- B值(25℃/100℃)：- 最大稳态电流(25℃)：100uA 耗散系数：1mW/℃ 热时间常数：5s 工作温度：-40℃~+125℃ 直径(φD)：- 长度：1.6mm 宽度：0.8mm 高度：0.8mm 脚间距：0.3mm</t>
  </si>
  <si>
    <t>传感器</t>
  </si>
  <si>
    <t>https://item.szlcsc.com/51678321.html</t>
  </si>
  <si>
    <t>82600</t>
  </si>
  <si>
    <t>0.192</t>
  </si>
  <si>
    <t>FRH0603B2002TS</t>
  </si>
  <si>
    <t>C49196669</t>
  </si>
  <si>
    <t>20kΩ</t>
  </si>
  <si>
    <t>R57</t>
  </si>
  <si>
    <t>厚膜电阻 20kΩ ±0.1% 100mW</t>
  </si>
  <si>
    <t>电阻类型：厚膜电阻 阻值：20kΩ 精度：±0.1% 功率：100mW 工作电压：75V 温度系数：±100ppm/℃ 工作温度：-55℃~+155℃</t>
  </si>
  <si>
    <t>https://item.szlcsc.com/51598967.html</t>
  </si>
  <si>
    <t>256200</t>
  </si>
  <si>
    <t>0.059185</t>
  </si>
  <si>
    <t>HGC1210R5476M250NSVK</t>
  </si>
  <si>
    <t>Chinocera(华瓷)</t>
  </si>
  <si>
    <t>C7432791</t>
  </si>
  <si>
    <t>59</t>
  </si>
  <si>
    <t>47uF</t>
  </si>
  <si>
    <t>C75,C85,C86</t>
  </si>
  <si>
    <t>47uF ±20% 25V</t>
  </si>
  <si>
    <t>容值：47uF 精度：±20% 额定电压：25V 温度系数：X5R</t>
  </si>
  <si>
    <t>https://item.szlcsc.com/8438273.html</t>
  </si>
  <si>
    <t>146438</t>
  </si>
  <si>
    <t>2.3</t>
  </si>
  <si>
    <t>1块板用3颗，备用2颗；购买数量3→5</t>
  </si>
  <si>
    <t>DSS110</t>
  </si>
  <si>
    <t>BORN(伯恩半导体)</t>
  </si>
  <si>
    <t>SOD-123_L2.8-W1.8-LS3.7-RD</t>
  </si>
  <si>
    <t>C511869</t>
  </si>
  <si>
    <t>60</t>
  </si>
  <si>
    <t>D9</t>
  </si>
  <si>
    <t>电压:100V 电流:1A</t>
  </si>
  <si>
    <t>二极管配置：1个独立式 正向压降(Vf)：850mV@2A 直流反向耐压(Vr)：100V 整流电流：1A 反向电流(Ir)：500uA@100V 工作结温范围：-55℃~+125℃ 非重复峰值浪涌电流 (Ifsm)：25A</t>
  </si>
  <si>
    <t>https://item.szlcsc.com/526334.html</t>
  </si>
  <si>
    <t>35820</t>
  </si>
  <si>
    <t>0.217</t>
  </si>
  <si>
    <t>CL10B224KA8NNNC</t>
  </si>
  <si>
    <t>C21120</t>
  </si>
  <si>
    <t>61</t>
  </si>
  <si>
    <t>220nF</t>
  </si>
  <si>
    <t>C76</t>
  </si>
  <si>
    <t>220nF ±10% 25V</t>
  </si>
  <si>
    <t>容值：220nF 精度：±10% 额定电压：25V 温度系数：X7R</t>
  </si>
  <si>
    <t>https://item.szlcsc.com/21832.html</t>
  </si>
  <si>
    <t>541600</t>
  </si>
  <si>
    <t>0.103</t>
  </si>
  <si>
    <t>FS32X475K101EGG</t>
  </si>
  <si>
    <t>C381466</t>
  </si>
  <si>
    <t>62</t>
  </si>
  <si>
    <t>4.7uF</t>
  </si>
  <si>
    <t>C47</t>
  </si>
  <si>
    <t>4.7uF ±10% 100V</t>
  </si>
  <si>
    <t>容值：4.7uF 精度：±10% 额定电压：100V 温度系数：X7R</t>
  </si>
  <si>
    <t>https://item.szlcsc.com/354087.html</t>
  </si>
  <si>
    <t>210450</t>
  </si>
  <si>
    <t>1.4905</t>
  </si>
  <si>
    <t>SS510</t>
  </si>
  <si>
    <t>SMA_L4.3-W2.6-LS5.0-RD</t>
  </si>
  <si>
    <t>C18199171</t>
  </si>
  <si>
    <t>63</t>
  </si>
  <si>
    <t>D5</t>
  </si>
  <si>
    <t>电压:100V 电流:5A</t>
  </si>
  <si>
    <t>SMA(DO-214AC)</t>
  </si>
  <si>
    <t>二极管配置：独立式 正向压降(Vf)：850mV@5A 直流反向耐压(Vr)：100V 整流电流：5A 反向电流(Ir)：50uA@100V 工作结温范围：-55℃~+150℃ 非重复峰值浪涌电流 (Ifsm)：120A</t>
  </si>
  <si>
    <t>https://item.szlcsc.com/19354403.html</t>
  </si>
  <si>
    <t>42910</t>
  </si>
  <si>
    <t>0.4973</t>
  </si>
  <si>
    <t>SS56</t>
  </si>
  <si>
    <t>C18199169</t>
  </si>
  <si>
    <t>64</t>
  </si>
  <si>
    <t>D10</t>
  </si>
  <si>
    <t>电压:60V 电流:5A</t>
  </si>
  <si>
    <t>二极管配置：独立式 正向压降(Vf)：700mV@5A 直流反向耐压(Vr)：60V 整流电流：5A 反向电流(Ir)：200uA@60V 工作结温范围：-55℃~+125℃ 非重复峰值浪涌电流 (Ifsm)：120A</t>
  </si>
  <si>
    <t>https://item.szlcsc.com/19354401.html</t>
  </si>
  <si>
    <t>610480</t>
  </si>
  <si>
    <t>0.3604</t>
  </si>
  <si>
    <t>CL10A225KA8NNNC</t>
  </si>
  <si>
    <t>C57895</t>
  </si>
  <si>
    <t>65</t>
  </si>
  <si>
    <t>2.2uF</t>
  </si>
  <si>
    <t>C2</t>
  </si>
  <si>
    <t>2.2uF ±10% 25V</t>
  </si>
  <si>
    <t>容值：2.2uF 精度：±10% 额定电压：25V 温度系数：X5R</t>
  </si>
  <si>
    <t>https://item.szlcsc.com/58932.html</t>
  </si>
  <si>
    <t>430600</t>
  </si>
  <si>
    <t>0.0858</t>
  </si>
  <si>
    <t>RT0603BRD07232KL</t>
  </si>
  <si>
    <t>C861240</t>
  </si>
  <si>
    <t>66</t>
  </si>
  <si>
    <t>232kΩ</t>
  </si>
  <si>
    <t>R30</t>
  </si>
  <si>
    <t>薄膜电阻 232kΩ ±0.1% 100mW</t>
  </si>
  <si>
    <t>电阻类型：薄膜电阻 阻值：232kΩ 精度：±0.1% 功率：100mW 温度系数：±25ppm/℃ 工作温度：-55℃~+155℃</t>
  </si>
  <si>
    <t>https://item.szlcsc.com/921578.html</t>
  </si>
  <si>
    <t>200</t>
  </si>
  <si>
    <t>0.2149</t>
  </si>
  <si>
    <t>WSLP25122L500FEA</t>
  </si>
  <si>
    <t>C1518127</t>
  </si>
  <si>
    <t>67</t>
  </si>
  <si>
    <t>2.5mΩ</t>
  </si>
  <si>
    <t>R12,R1</t>
  </si>
  <si>
    <t>2.5mΩ ±1% 3W</t>
  </si>
  <si>
    <t>电阻类型：采样电阻 阻值：2.5mΩ 精度：±1% 最大工作电压：- 功率：3W 额定电流：- 温度系数：±275ppm/℃ 安装方式：贴片</t>
  </si>
  <si>
    <t>https://item.szlcsc.com/1608924.html</t>
  </si>
  <si>
    <t>3.22</t>
  </si>
  <si>
    <t>MTP2915-6R8MC</t>
  </si>
  <si>
    <t>COILMX(迈翔科技)</t>
  </si>
  <si>
    <t>IND-SMD_3P-L28.0-W27.0</t>
  </si>
  <si>
    <t>C881788</t>
  </si>
  <si>
    <t>68</t>
  </si>
  <si>
    <t>6.8uH</t>
  </si>
  <si>
    <t>L6</t>
  </si>
  <si>
    <t>6.8uH ±20% 40A</t>
  </si>
  <si>
    <t>SMD-3P,28x27mm</t>
  </si>
  <si>
    <t>电感值：6.8uH 精度：±20% 额定电流：30A 饱和电流(Isat)：40A 直流电阻(DCR)：2mΩ 类型：扁线绕线电感</t>
  </si>
  <si>
    <t>https://item.szlcsc.com/945166.html</t>
  </si>
  <si>
    <t>15.05</t>
  </si>
  <si>
    <t>FRC0603F1822TS</t>
  </si>
  <si>
    <t>C2933164</t>
  </si>
  <si>
    <t>69</t>
  </si>
  <si>
    <t>18.2kΩ</t>
  </si>
  <si>
    <t>R4</t>
  </si>
  <si>
    <t>厚膜电阻 18.2kΩ ±1% 100mW</t>
  </si>
  <si>
    <t>电阻类型：厚膜电阻 阻值：18.2kΩ 精度：±1% 功率：100mW 工作电压：75V 温度系数：±100ppm/℃ 工作温度：-55℃~+155℃</t>
  </si>
  <si>
    <t>https://item.szlcsc.com/3279266.html</t>
  </si>
  <si>
    <t>253200</t>
  </si>
  <si>
    <t>0.016625</t>
  </si>
  <si>
    <t>CGA3E1C0G2A103JT0Y0E</t>
  </si>
  <si>
    <t>TDK</t>
  </si>
  <si>
    <t>C432938</t>
  </si>
  <si>
    <t>70</t>
  </si>
  <si>
    <t>10nF</t>
  </si>
  <si>
    <t>C42</t>
  </si>
  <si>
    <t>10nF ±5% 100V</t>
  </si>
  <si>
    <t>容值：10nF 精度：±5% 额定电压：100V 温度系数：C0G</t>
  </si>
  <si>
    <t>https://item.szlcsc.com/429890.html</t>
  </si>
  <si>
    <t>1400</t>
  </si>
  <si>
    <t>0.6458</t>
  </si>
  <si>
    <t>25121WF2201T4E</t>
  </si>
  <si>
    <t>C421608</t>
  </si>
  <si>
    <t>71</t>
  </si>
  <si>
    <t>2.2kΩ</t>
  </si>
  <si>
    <t>R37</t>
  </si>
  <si>
    <t>厚膜电阻 2.2kΩ ±1% 1W</t>
  </si>
  <si>
    <t>电阻类型：厚膜电阻 阻值：2.2kΩ 精度：±1% 功率：1W 工作电压：200V 温度系数：±100ppm/℃ 工作温度：-55℃~+155℃</t>
  </si>
  <si>
    <t>https://item.szlcsc.com/414558.html</t>
  </si>
  <si>
    <t>26770</t>
  </si>
  <si>
    <t>0.3333</t>
  </si>
  <si>
    <t>PA63V470M10X17</t>
  </si>
  <si>
    <t>CAP-TH_BD10.0-P5.00-D0.6-FD-A</t>
  </si>
  <si>
    <t>C49232909</t>
  </si>
  <si>
    <t>72</t>
  </si>
  <si>
    <t>470uF</t>
  </si>
  <si>
    <t>C59</t>
  </si>
  <si>
    <t>470uF ±20% 63V</t>
  </si>
  <si>
    <t>插件,D10xL17mm</t>
  </si>
  <si>
    <t>容值：470uF 精度：±20% 额定电压：63V 纹波电流：4.1A@100kHz 等效串联电阻(ESR)：18mΩ@100kHz 类型：聚合物 脚间距：5mm 电容体直径：10mm 电容体长度：17mm 工作寿命：2000hrs@105℃ 工作温度：-55℃~+105℃ 极性类型：有极性</t>
  </si>
  <si>
    <t>https://item.szlcsc.com/51647988.html</t>
  </si>
  <si>
    <t>44368</t>
  </si>
  <si>
    <t>3.743</t>
  </si>
  <si>
    <t>TLP2761(D4-TP4,E</t>
  </si>
  <si>
    <t>TOSHIBA(东芝)</t>
  </si>
  <si>
    <t>SOP-6_L7.5-W3.8-P1.27-LS11.1-BL</t>
  </si>
  <si>
    <t>C24267845</t>
  </si>
  <si>
    <t>73</t>
  </si>
  <si>
    <t>U8</t>
  </si>
  <si>
    <t>TLP2761(D4-TP4,E(T</t>
  </si>
  <si>
    <t>SO-6L</t>
  </si>
  <si>
    <t>输入类型：DC 工作电压：2.7V~5.5V 隔离电压(Vrms)：5kV CMTI(kV/us)：20kV/us 传输速率：15Mbps CTR-电流传输比：- 通道数：1 工作温度：-40℃~+125℃ 传播延迟 tpLH：80ns 传播延迟 tpHL：80ns 输入阈值电流(FH)：1.6mA 输出电流：10mA 耗散功率(Pd)：20mW 输出电压：6V 正向压降(Vf)：1.5V 直流反向耐压(Vr)：5V 正向电流(If)：10mA 功能特性：-</t>
  </si>
  <si>
    <t>光耦</t>
  </si>
  <si>
    <t>https://item.szlcsc.com/25997706.html</t>
  </si>
  <si>
    <t>1500</t>
  </si>
  <si>
    <t>283</t>
  </si>
  <si>
    <t>7.09</t>
  </si>
  <si>
    <t>RT0603BRD078K2L</t>
  </si>
  <si>
    <t>C861589</t>
  </si>
  <si>
    <t>74</t>
  </si>
  <si>
    <t>8.2kΩ</t>
  </si>
  <si>
    <t>R19</t>
  </si>
  <si>
    <t>薄膜电阻 8.2kΩ ±0.1% 100mW</t>
  </si>
  <si>
    <t>电阻类型：薄膜电阻 阻值：8.2kΩ 精度：±0.1% 功率：100mW 工作电压：75V 温度系数：±25ppm/℃ 工作温度：-55℃~+155℃</t>
  </si>
  <si>
    <t>https://item.szlcsc.com/921927.html</t>
  </si>
  <si>
    <t>17330</t>
  </si>
  <si>
    <t>0.289</t>
  </si>
  <si>
    <t>1N4148WS-E3-08</t>
  </si>
  <si>
    <t>SOD-323_L1.8-W1.3-LS2.7-RD</t>
  </si>
  <si>
    <t>C129905</t>
  </si>
  <si>
    <t>75</t>
  </si>
  <si>
    <t>D13</t>
  </si>
  <si>
    <t>75V 150mA</t>
  </si>
  <si>
    <t>SOD-323</t>
  </si>
  <si>
    <t>二极管配置：1个独立式 耗散功率(Pd)：200mW 整流电流：150mA 直流反向耐压(Vr)：75V 正向压降(Vf)：1.2V@100mA 非重复峰值浪涌电流 (Ifsm)：350mA 反向电流(Ir)：100uA@100V 反向恢复时间(Trr)：4ns 工作结温范围：-55℃~+150℃</t>
  </si>
  <si>
    <t>https://item.szlcsc.com/141192.html</t>
  </si>
  <si>
    <t>231050</t>
  </si>
  <si>
    <t>0.3623</t>
  </si>
  <si>
    <t>DB301V-3.5-2P-GN-S</t>
  </si>
  <si>
    <t>DORABO(地博电气)</t>
  </si>
  <si>
    <t>CONN-TH_DB301V-3.5-2P-GN</t>
  </si>
  <si>
    <t>C695629</t>
  </si>
  <si>
    <t>76</t>
  </si>
  <si>
    <t>U9</t>
  </si>
  <si>
    <t>1x2P 3.5mm 直插 排数:1 每排P数:2</t>
  </si>
  <si>
    <t>插件,P=3.5mm</t>
  </si>
  <si>
    <t>结构：1x2P 间距：3.5mm 颜色：绿色 安装类型：直插 总PIN数：2P 排数：1 每排PIN数：2 螺钉规格：M2 额定电流：7A 额定电压：300V 线规 - AWG：18~24 线规 - 平方毫米：0.5~1 工作温度：-40℃~+105℃ 板上高度：8.5mm</t>
  </si>
  <si>
    <t>https://item.szlcsc.com/728965.html</t>
  </si>
  <si>
    <t>404310</t>
  </si>
  <si>
    <t>0.556695</t>
  </si>
  <si>
    <t>0805W8F100JT5E</t>
  </si>
  <si>
    <t>R0805_NEW</t>
  </si>
  <si>
    <t>C17415</t>
  </si>
  <si>
    <t>77</t>
  </si>
  <si>
    <t>R42,R21,R43,R47</t>
  </si>
  <si>
    <t>厚膜电阻 10Ω ±1% 125mW</t>
  </si>
  <si>
    <t>电阻类型：厚膜电阻 阻值：10Ω 精度：±1% 功率：125mW 工作电压：150V 温度系数：±200ppm/℃ 工作温度：-55℃~+155℃</t>
  </si>
  <si>
    <t>https://item.szlcsc.com/18103.html</t>
  </si>
  <si>
    <t>4999500</t>
  </si>
  <si>
    <t>0.0261</t>
  </si>
  <si>
    <t>FS32X105K101EFG</t>
  </si>
  <si>
    <t>C382212</t>
  </si>
  <si>
    <t>78</t>
  </si>
  <si>
    <t>C73,C74,C79,C84,C91,C92,C93</t>
  </si>
  <si>
    <t>1uF ±10% 100V</t>
  </si>
  <si>
    <t>容值：1uF 精度：±10% 额定电压：100V 温度系数：X7R</t>
  </si>
  <si>
    <t>https://item.szlcsc.com/355076.html</t>
  </si>
  <si>
    <t>358890</t>
  </si>
  <si>
    <t>0.4966</t>
  </si>
  <si>
    <t>BSC070N10LS5ATMA1</t>
  </si>
  <si>
    <t>PG-TDSON-8_L5.0-W6.0-P1.27-BL-EP</t>
  </si>
  <si>
    <t>C3278731</t>
  </si>
  <si>
    <t>79</t>
  </si>
  <si>
    <t>Q2,Q5</t>
  </si>
  <si>
    <t>1个N沟道 耐压:100V 电流:79A</t>
  </si>
  <si>
    <t>TDSON-8</t>
  </si>
  <si>
    <t>数量：1个N沟道 漏源电压(Vdss)：100V 连续漏极电流(Id)：79A 导通电阻(RDS(on))：8.5mΩ@4.5V 耗散功率(Pd)：83W 阈值电压(Vgs(th))：2.3V 栅极电荷量(Qg)：20nC@4.5V 输入电容(Ciss)：2.7nF 反向传输电容(Crss)：28pF 工作温度：-55℃~+150℃ 类型：N沟道 输出电容(Coss)：440pF</t>
  </si>
  <si>
    <t>https://item.szlcsc.com/3841629.html</t>
  </si>
  <si>
    <t>1921</t>
  </si>
  <si>
    <t>11.43</t>
  </si>
  <si>
    <t>1块板用2颗，备用4颗；购买数量2→6</t>
  </si>
  <si>
    <t>BSC096N10LS5ATMA1</t>
  </si>
  <si>
    <t>TDSON-8_L5.9-W5.2-P1.27-BL</t>
  </si>
  <si>
    <t>C3278721</t>
  </si>
  <si>
    <t>80</t>
  </si>
  <si>
    <t>Q1,Q6</t>
  </si>
  <si>
    <t>1个N沟道 耐压:100V 电流:72A</t>
  </si>
  <si>
    <t>数量：1个N沟道 漏源电压(Vdss)：100V 连续漏极电流(Id)：72A 导通电阻(RDS(on))：9.6mΩ@10V 耗散功率(Pd)：83W 阈值电压(Vgs(th))：2.3V 栅极电荷量(Qg)：14.6nC@4.5V 输入电容(Ciss)：2.1nF 反向传输电容(Crss)：21pF 工作温度：-55℃~+175℃ 配置：- 类型：N沟道 输出电容(Coss)：320pF 栅极电压(Vgs)：±20V</t>
  </si>
  <si>
    <t>https://item.szlcsc.com/3841619.html</t>
  </si>
  <si>
    <t>15.42</t>
  </si>
  <si>
    <t>RT0603BRD07100KL</t>
  </si>
  <si>
    <t>C122538</t>
  </si>
  <si>
    <t>81</t>
  </si>
  <si>
    <t>R58</t>
  </si>
  <si>
    <t>薄膜电阻 100kΩ ±0.1% 100mW</t>
  </si>
  <si>
    <t>电阻类型：薄膜电阻 阻值：100kΩ 精度：±0.1% 功率：100mW 工作电压：75V 温度系数：±25ppm/℃ 工作温度：-55℃~+155℃</t>
  </si>
  <si>
    <t>https://item.szlcsc.com/123807.html</t>
  </si>
  <si>
    <t>1090060</t>
  </si>
  <si>
    <t>0.179088</t>
  </si>
  <si>
    <t>CGA0603X5R475K160JT</t>
  </si>
  <si>
    <t>C6119855</t>
  </si>
  <si>
    <t>82</t>
  </si>
  <si>
    <t>C48</t>
  </si>
  <si>
    <t>4.7uF ±10% 16V</t>
  </si>
  <si>
    <t>容值：4.7uF 精度：±10% 额定电压：16V 温度系数：X5R</t>
  </si>
  <si>
    <t>https://item.szlcsc.com/7062561.html</t>
  </si>
  <si>
    <t>329500</t>
  </si>
  <si>
    <t>0.1339</t>
  </si>
  <si>
    <t>FCC0603B103K500CT</t>
  </si>
  <si>
    <t>C5137477</t>
  </si>
  <si>
    <t>83</t>
  </si>
  <si>
    <t>C90</t>
  </si>
  <si>
    <t>10nF ±10% 50V</t>
  </si>
  <si>
    <t>容值：10nF 精度：±10% 额定电压：50V 温度系数：X7R 工作温度：-55℃~+125℃</t>
  </si>
  <si>
    <t>https://item.szlcsc.com/5746979.html</t>
  </si>
  <si>
    <t>5757700</t>
  </si>
  <si>
    <t>0.03924</t>
  </si>
  <si>
    <t>SMM02070C1009FBP00</t>
  </si>
  <si>
    <t>RES-SMD_L5.8-W2.2</t>
  </si>
  <si>
    <t>C5224088</t>
  </si>
  <si>
    <t>84</t>
  </si>
  <si>
    <t>R48,R71</t>
  </si>
  <si>
    <t>薄膜电阻 10Ω ±1% 1W</t>
  </si>
  <si>
    <t>MELF-0207</t>
  </si>
  <si>
    <t>电阻类型：薄膜电阻 阻值：10Ω 精度：±1% 功率：1W 温度系数：±50ppm/℃ 工作温度：-55℃~+155℃</t>
  </si>
  <si>
    <t>https://item.szlcsc.com/5925269.html</t>
  </si>
  <si>
    <t>3505</t>
  </si>
  <si>
    <t>0.8557</t>
  </si>
  <si>
    <t>1块板用2颗，备用8颗；购买数量5→10</t>
  </si>
  <si>
    <t>CC1206JKNPOCBN221</t>
  </si>
  <si>
    <t>C1206</t>
  </si>
  <si>
    <t>C107175</t>
  </si>
  <si>
    <t>85</t>
  </si>
  <si>
    <t>220pF</t>
  </si>
  <si>
    <t>C65,C87</t>
  </si>
  <si>
    <t>220pF ±5% 1kV</t>
  </si>
  <si>
    <t>1206</t>
  </si>
  <si>
    <t>容值：220pF 精度：±5% 额定电压：1kV 温度系数：NP0</t>
  </si>
  <si>
    <t>https://item.szlcsc.com/108391.html</t>
  </si>
  <si>
    <t>56640</t>
  </si>
  <si>
    <t>0.2541</t>
  </si>
  <si>
    <t>兼容现有MELF-0207焊盘；核对重复脉冲承受能力</t>
  </si>
  <si>
    <t>86</t>
  </si>
  <si>
    <t>4.7Ω ±1% ≥1W 吸收电阻</t>
  </si>
  <si>
    <t>待匹配（调试备料）</t>
  </si>
  <si>
    <t>调试替换R48、R71；首次不装；未指定商品型号/编号，需商城按规格匹配后确认起订量与价格</t>
  </si>
  <si>
    <t>87</t>
  </si>
  <si>
    <t>6.8Ω ±1% ≥1W 吸收电阻</t>
  </si>
  <si>
    <t>88</t>
  </si>
  <si>
    <t>15Ω ±1% ≥1W 吸收电阻</t>
  </si>
  <si>
    <t>89</t>
  </si>
  <si>
    <t>22Ω ±1% ≥1W 吸收电阻</t>
  </si>
  <si>
    <t>1206，1kV，C0G/NP0</t>
  </si>
  <si>
    <t>90</t>
  </si>
  <si>
    <t>100pF ±5% 1kV C0G/NP0</t>
  </si>
  <si>
    <t>调试替换C65、C87；首次不装；未指定商品型号/编号，需商城按规格匹配后确认起订量与价格</t>
  </si>
  <si>
    <t>91</t>
  </si>
  <si>
    <t>150pF ±5% 1kV C0G/NP0</t>
  </si>
  <si>
    <t>92</t>
  </si>
  <si>
    <t>330pF ±5% 1kV C0G/NP0</t>
  </si>
  <si>
    <t>93</t>
  </si>
  <si>
    <t>470pF ±5% 1kV C0G/NP0</t>
  </si>
  <si>
    <t>0805，功率≥125mW</t>
  </si>
  <si>
    <t>94</t>
  </si>
  <si>
    <t>4.7Ω ±1% ≥125mW 栅极电阻</t>
  </si>
  <si>
    <t>调试替换R21、R43、R42、R47；首次不装；未指定商品型号/编号，需商城按规格匹配后确认起订量与价格</t>
  </si>
  <si>
    <t>95</t>
  </si>
  <si>
    <t>6.8Ω ±1% ≥125mW 栅极电阻</t>
  </si>
  <si>
    <t>96</t>
  </si>
  <si>
    <t>15Ω ±1% ≥125mW 栅极电阻</t>
  </si>
  <si>
    <t>97</t>
  </si>
  <si>
    <t>22Ω ±1% ≥125mW 栅极电阻</t>
  </si>
  <si>
    <r>
      <t>1</t>
    </r>
    <r>
      <rPr>
        <sz val="10"/>
        <color rgb="FF000000"/>
        <rFont val="微软雅黑"/>
        <family val="2"/>
        <charset val="134"/>
      </rPr>
      <t>块板用</t>
    </r>
    <r>
      <rPr>
        <sz val="10"/>
        <color rgb="FF000000"/>
        <rFont val="Arial"/>
        <family val="2"/>
      </rPr>
      <t>8</t>
    </r>
    <r>
      <rPr>
        <sz val="10"/>
        <color rgb="FF000000"/>
        <rFont val="微软雅黑"/>
        <family val="2"/>
        <charset val="134"/>
      </rPr>
      <t>颗，备用</t>
    </r>
    <r>
      <rPr>
        <sz val="10"/>
        <color rgb="FF000000"/>
        <rFont val="Arial"/>
        <family val="2"/>
      </rPr>
      <t>12</t>
    </r>
    <r>
      <rPr>
        <sz val="10"/>
        <color rgb="FF000000"/>
        <rFont val="微软雅黑"/>
        <family val="2"/>
        <charset val="134"/>
      </rPr>
      <t>颗，购买</t>
    </r>
    <r>
      <rPr>
        <sz val="10"/>
        <color rgb="FF000000"/>
        <rFont val="Arial"/>
        <family val="2"/>
      </rPr>
      <t>20</t>
    </r>
    <r>
      <rPr>
        <sz val="10"/>
        <color rgb="FF000000"/>
        <rFont val="微软雅黑"/>
        <family val="2"/>
        <charset val="134"/>
      </rPr>
      <t>颗；原表无法匹配，需按原型号重新配单；价格待确认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</si>
</sst>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000000"/>
      <name val="Arial"/>
      <family val="2"/>
    </font>
    <font>
      <sz val="10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CC00"/>
      </patternFill>
    </fill>
    <fill>
      <patternFill patternType="solid">
        <fgColor rgb="FF99CC00"/>
      </patternFill>
    </fill>
    <fill>
      <patternFill patternType="solid">
        <fgColor rgb="FFC0C0C0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1" fillId="0" borderId="0" xfId="1" applyFont="1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0" fontId="2" fillId="6" borderId="1" xfId="1" applyFont="1" applyFill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left" vertical="center" wrapText="1"/>
    </xf>
    <xf numFmtId="1" fontId="2" fillId="0" borderId="2" xfId="1" applyNumberFormat="1" applyFont="1" applyBorder="1" applyAlignment="1">
      <alignment horizontal="left" vertical="center"/>
    </xf>
    <xf numFmtId="1" fontId="2" fillId="6" borderId="2" xfId="1" applyNumberFormat="1" applyFont="1" applyFill="1" applyBorder="1" applyAlignment="1">
      <alignment horizontal="left" vertical="center"/>
    </xf>
    <xf numFmtId="1" fontId="2" fillId="6" borderId="1" xfId="1" applyNumberFormat="1" applyFont="1" applyFill="1" applyBorder="1" applyAlignment="1">
      <alignment horizontal="left" vertical="center"/>
    </xf>
    <xf numFmtId="2" fontId="2" fillId="0" borderId="1" xfId="1" applyNumberFormat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2" xfId="1" applyFont="1" applyBorder="1"/>
    <xf numFmtId="0" fontId="1" fillId="0" borderId="3" xfId="1" applyFont="1" applyBorder="1"/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" fontId="1" fillId="6" borderId="0" xfId="1" applyNumberFormat="1" applyFont="1" applyFill="1" applyAlignment="1">
      <alignment horizontal="left" vertical="center"/>
    </xf>
    <xf numFmtId="0" fontId="1" fillId="0" borderId="0" xfId="1" applyFont="1" applyAlignment="1">
      <alignment horizontal="left" vertical="center"/>
    </xf>
    <xf numFmtId="2" fontId="1" fillId="0" borderId="0" xfId="1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"/>
  <sheetViews>
    <sheetView tabSelected="1" zoomScale="60" zoomScaleNormal="60" workbookViewId="0">
      <pane ySplit="2" topLeftCell="A3" activePane="bottomLeft" state="frozen"/>
      <selection pane="bottomLeft" activeCell="F88" sqref="F88"/>
    </sheetView>
  </sheetViews>
  <sheetFormatPr defaultRowHeight="13.8"/>
  <cols>
    <col min="1" max="12" width="8" customWidth="1"/>
    <col min="13" max="13" width="22.19921875" customWidth="1"/>
    <col min="14" max="14" width="15.8984375" customWidth="1"/>
    <col min="15" max="15" width="8" customWidth="1"/>
    <col min="16" max="16" width="24.19921875" customWidth="1"/>
    <col min="17" max="19" width="8" customWidth="1"/>
    <col min="20" max="20" width="14.8984375" customWidth="1"/>
    <col min="21" max="21" width="13" customWidth="1"/>
    <col min="22" max="23" width="8" customWidth="1"/>
    <col min="24" max="24" width="10.796875" customWidth="1"/>
    <col min="25" max="25" width="13" customWidth="1"/>
    <col min="26" max="26" width="16" customWidth="1"/>
    <col min="27" max="27" width="14.296875" customWidth="1"/>
    <col min="28" max="28" width="16" customWidth="1"/>
    <col min="29" max="29" width="51" customWidth="1"/>
  </cols>
  <sheetData>
    <row r="1" spans="1:29" ht="27" customHeight="1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1"/>
      <c r="K1" s="23" t="s">
        <v>1</v>
      </c>
      <c r="L1" s="20"/>
      <c r="M1" s="20"/>
      <c r="N1" s="20"/>
      <c r="O1" s="20"/>
      <c r="P1" s="20"/>
      <c r="Q1" s="21"/>
      <c r="R1" s="22" t="s">
        <v>2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</row>
    <row r="2" spans="1:29" ht="34.049999999999997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5" t="s">
        <v>1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19" t="s">
        <v>26</v>
      </c>
      <c r="Z2" s="19" t="s">
        <v>27</v>
      </c>
      <c r="AA2" s="19" t="s">
        <v>28</v>
      </c>
      <c r="AB2" s="19" t="s">
        <v>29</v>
      </c>
      <c r="AC2" s="19" t="s">
        <v>30</v>
      </c>
    </row>
    <row r="3" spans="1:29" ht="24" customHeight="1">
      <c r="A3" s="6" t="s">
        <v>31</v>
      </c>
      <c r="B3" s="7" t="s">
        <v>32</v>
      </c>
      <c r="C3" s="7" t="s">
        <v>33</v>
      </c>
      <c r="D3" s="7"/>
      <c r="E3" s="7" t="s">
        <v>34</v>
      </c>
      <c r="F3" s="7" t="s">
        <v>35</v>
      </c>
      <c r="G3" s="7" t="s">
        <v>31</v>
      </c>
      <c r="H3" s="7" t="s">
        <v>36</v>
      </c>
      <c r="I3" s="7" t="s">
        <v>37</v>
      </c>
      <c r="J3" s="8" t="s">
        <v>38</v>
      </c>
      <c r="K3" s="9" t="s">
        <v>39</v>
      </c>
      <c r="L3" s="6" t="s">
        <v>40</v>
      </c>
      <c r="M3" s="7" t="s">
        <v>31</v>
      </c>
      <c r="N3" s="7" t="s">
        <v>32</v>
      </c>
      <c r="O3" s="7" t="s">
        <v>41</v>
      </c>
      <c r="P3" s="7" t="s">
        <v>42</v>
      </c>
      <c r="Q3" s="7" t="s">
        <v>43</v>
      </c>
      <c r="R3" s="8" t="s">
        <v>34</v>
      </c>
      <c r="S3" s="10" t="s">
        <v>44</v>
      </c>
      <c r="T3" s="6" t="s">
        <v>45</v>
      </c>
      <c r="U3" s="7" t="s">
        <v>46</v>
      </c>
      <c r="V3" s="7" t="s">
        <v>35</v>
      </c>
      <c r="W3" s="7" t="s">
        <v>47</v>
      </c>
      <c r="X3" s="7" t="s">
        <v>48</v>
      </c>
      <c r="Y3" s="15" t="s">
        <v>37</v>
      </c>
      <c r="Z3" s="7" t="s">
        <v>49</v>
      </c>
      <c r="AA3" s="8" t="s">
        <v>48</v>
      </c>
      <c r="AB3" s="18">
        <f t="shared" ref="AB3:AB36" si="0">ROUND(Y3*Z3,2)</f>
        <v>7.38</v>
      </c>
      <c r="AC3" s="3"/>
    </row>
    <row r="4" spans="1:29" ht="64.05" customHeight="1">
      <c r="A4" s="6" t="s">
        <v>50</v>
      </c>
      <c r="B4" s="7" t="s">
        <v>51</v>
      </c>
      <c r="C4" s="7" t="s">
        <v>52</v>
      </c>
      <c r="D4" s="7"/>
      <c r="E4" s="7" t="s">
        <v>53</v>
      </c>
      <c r="F4" s="7" t="s">
        <v>37</v>
      </c>
      <c r="G4" s="7" t="s">
        <v>54</v>
      </c>
      <c r="H4" s="7" t="s">
        <v>55</v>
      </c>
      <c r="I4" s="7" t="s">
        <v>56</v>
      </c>
      <c r="J4" s="8" t="s">
        <v>38</v>
      </c>
      <c r="K4" s="9" t="s">
        <v>39</v>
      </c>
      <c r="L4" s="6" t="s">
        <v>57</v>
      </c>
      <c r="M4" s="7" t="s">
        <v>50</v>
      </c>
      <c r="N4" s="7" t="s">
        <v>51</v>
      </c>
      <c r="O4" s="7" t="s">
        <v>58</v>
      </c>
      <c r="P4" s="7" t="s">
        <v>59</v>
      </c>
      <c r="Q4" s="7" t="s">
        <v>60</v>
      </c>
      <c r="R4" s="8" t="s">
        <v>53</v>
      </c>
      <c r="S4" s="10" t="s">
        <v>61</v>
      </c>
      <c r="T4" s="6" t="s">
        <v>62</v>
      </c>
      <c r="U4" s="7" t="s">
        <v>63</v>
      </c>
      <c r="V4" s="7" t="s">
        <v>64</v>
      </c>
      <c r="W4" s="7" t="s">
        <v>65</v>
      </c>
      <c r="X4" s="7" t="s">
        <v>66</v>
      </c>
      <c r="Y4" s="16">
        <v>30</v>
      </c>
      <c r="Z4" s="7" t="s">
        <v>67</v>
      </c>
      <c r="AA4" s="8" t="s">
        <v>48</v>
      </c>
      <c r="AB4" s="18">
        <f t="shared" si="0"/>
        <v>73.02</v>
      </c>
      <c r="AC4" s="3" t="s">
        <v>68</v>
      </c>
    </row>
    <row r="5" spans="1:29" ht="24" customHeight="1">
      <c r="A5" s="6" t="s">
        <v>69</v>
      </c>
      <c r="B5" s="7" t="s">
        <v>70</v>
      </c>
      <c r="C5" s="7" t="s">
        <v>71</v>
      </c>
      <c r="D5" s="7"/>
      <c r="E5" s="7" t="s">
        <v>72</v>
      </c>
      <c r="F5" s="7" t="s">
        <v>73</v>
      </c>
      <c r="G5" s="7" t="s">
        <v>69</v>
      </c>
      <c r="H5" s="7" t="s">
        <v>74</v>
      </c>
      <c r="I5" s="7" t="s">
        <v>35</v>
      </c>
      <c r="J5" s="8" t="s">
        <v>38</v>
      </c>
      <c r="K5" s="9" t="s">
        <v>39</v>
      </c>
      <c r="L5" s="6" t="s">
        <v>75</v>
      </c>
      <c r="M5" s="7" t="s">
        <v>69</v>
      </c>
      <c r="N5" s="7" t="s">
        <v>70</v>
      </c>
      <c r="O5" s="7" t="s">
        <v>76</v>
      </c>
      <c r="P5" s="7" t="s">
        <v>77</v>
      </c>
      <c r="Q5" s="7" t="s">
        <v>78</v>
      </c>
      <c r="R5" s="8" t="s">
        <v>72</v>
      </c>
      <c r="S5" s="10" t="s">
        <v>79</v>
      </c>
      <c r="T5" s="6" t="s">
        <v>62</v>
      </c>
      <c r="U5" s="7" t="s">
        <v>63</v>
      </c>
      <c r="V5" s="7" t="s">
        <v>64</v>
      </c>
      <c r="W5" s="7" t="s">
        <v>80</v>
      </c>
      <c r="X5" s="7" t="s">
        <v>81</v>
      </c>
      <c r="Y5" s="15" t="s">
        <v>64</v>
      </c>
      <c r="Z5" s="7" t="s">
        <v>82</v>
      </c>
      <c r="AA5" s="8" t="s">
        <v>48</v>
      </c>
      <c r="AB5" s="18">
        <f t="shared" si="0"/>
        <v>4.51</v>
      </c>
      <c r="AC5" s="3"/>
    </row>
    <row r="6" spans="1:29" ht="24" customHeight="1">
      <c r="A6" s="6" t="s">
        <v>83</v>
      </c>
      <c r="B6" s="7" t="s">
        <v>84</v>
      </c>
      <c r="C6" s="7" t="s">
        <v>85</v>
      </c>
      <c r="D6" s="7"/>
      <c r="E6" s="7" t="s">
        <v>86</v>
      </c>
      <c r="F6" s="7" t="s">
        <v>87</v>
      </c>
      <c r="G6" s="7" t="s">
        <v>88</v>
      </c>
      <c r="H6" s="7" t="s">
        <v>89</v>
      </c>
      <c r="I6" s="7" t="s">
        <v>37</v>
      </c>
      <c r="J6" s="8" t="s">
        <v>38</v>
      </c>
      <c r="K6" s="9" t="s">
        <v>39</v>
      </c>
      <c r="L6" s="6" t="s">
        <v>90</v>
      </c>
      <c r="M6" s="7" t="s">
        <v>83</v>
      </c>
      <c r="N6" s="7" t="s">
        <v>84</v>
      </c>
      <c r="O6" s="7" t="s">
        <v>91</v>
      </c>
      <c r="P6" s="7" t="s">
        <v>92</v>
      </c>
      <c r="Q6" s="7" t="s">
        <v>93</v>
      </c>
      <c r="R6" s="8" t="s">
        <v>86</v>
      </c>
      <c r="S6" s="10" t="s">
        <v>94</v>
      </c>
      <c r="T6" s="6" t="s">
        <v>62</v>
      </c>
      <c r="U6" s="7" t="s">
        <v>63</v>
      </c>
      <c r="V6" s="7" t="s">
        <v>95</v>
      </c>
      <c r="W6" s="7" t="s">
        <v>96</v>
      </c>
      <c r="X6" s="7" t="s">
        <v>97</v>
      </c>
      <c r="Y6" s="15" t="s">
        <v>95</v>
      </c>
      <c r="Z6" s="7" t="s">
        <v>98</v>
      </c>
      <c r="AA6" s="8" t="s">
        <v>48</v>
      </c>
      <c r="AB6" s="18">
        <f t="shared" si="0"/>
        <v>3.94</v>
      </c>
      <c r="AC6" s="3"/>
    </row>
    <row r="7" spans="1:29" ht="24" customHeight="1">
      <c r="A7" s="6" t="s">
        <v>99</v>
      </c>
      <c r="B7" s="7" t="s">
        <v>100</v>
      </c>
      <c r="C7" s="7" t="s">
        <v>101</v>
      </c>
      <c r="D7" s="7"/>
      <c r="E7" s="7" t="s">
        <v>102</v>
      </c>
      <c r="F7" s="7" t="s">
        <v>64</v>
      </c>
      <c r="G7" s="7" t="s">
        <v>103</v>
      </c>
      <c r="H7" s="7" t="s">
        <v>104</v>
      </c>
      <c r="I7" s="7" t="s">
        <v>37</v>
      </c>
      <c r="J7" s="8" t="s">
        <v>38</v>
      </c>
      <c r="K7" s="9" t="s">
        <v>39</v>
      </c>
      <c r="L7" s="6" t="s">
        <v>105</v>
      </c>
      <c r="M7" s="7" t="s">
        <v>99</v>
      </c>
      <c r="N7" s="7" t="s">
        <v>100</v>
      </c>
      <c r="O7" s="7" t="s">
        <v>106</v>
      </c>
      <c r="P7" s="7" t="s">
        <v>107</v>
      </c>
      <c r="Q7" s="7" t="s">
        <v>60</v>
      </c>
      <c r="R7" s="8" t="s">
        <v>102</v>
      </c>
      <c r="S7" s="10" t="s">
        <v>108</v>
      </c>
      <c r="T7" s="6" t="s">
        <v>62</v>
      </c>
      <c r="U7" s="7" t="s">
        <v>63</v>
      </c>
      <c r="V7" s="7" t="s">
        <v>64</v>
      </c>
      <c r="W7" s="7" t="s">
        <v>109</v>
      </c>
      <c r="X7" s="7" t="s">
        <v>110</v>
      </c>
      <c r="Y7" s="15" t="s">
        <v>64</v>
      </c>
      <c r="Z7" s="7" t="s">
        <v>111</v>
      </c>
      <c r="AA7" s="8" t="s">
        <v>48</v>
      </c>
      <c r="AB7" s="18">
        <f t="shared" si="0"/>
        <v>5.3</v>
      </c>
      <c r="AC7" s="3"/>
    </row>
    <row r="8" spans="1:29" ht="24" customHeight="1">
      <c r="A8" s="6" t="s">
        <v>112</v>
      </c>
      <c r="B8" s="7" t="s">
        <v>113</v>
      </c>
      <c r="C8" s="7" t="s">
        <v>114</v>
      </c>
      <c r="D8" s="7"/>
      <c r="E8" s="7" t="s">
        <v>115</v>
      </c>
      <c r="F8" s="7" t="s">
        <v>116</v>
      </c>
      <c r="G8" s="7" t="s">
        <v>117</v>
      </c>
      <c r="H8" s="7" t="s">
        <v>118</v>
      </c>
      <c r="I8" s="7" t="s">
        <v>87</v>
      </c>
      <c r="J8" s="8" t="s">
        <v>38</v>
      </c>
      <c r="K8" s="9" t="s">
        <v>39</v>
      </c>
      <c r="L8" s="6" t="s">
        <v>119</v>
      </c>
      <c r="M8" s="7" t="s">
        <v>112</v>
      </c>
      <c r="N8" s="7" t="s">
        <v>113</v>
      </c>
      <c r="O8" s="7" t="s">
        <v>120</v>
      </c>
      <c r="P8" s="7" t="s">
        <v>121</v>
      </c>
      <c r="Q8" s="7" t="s">
        <v>93</v>
      </c>
      <c r="R8" s="8" t="s">
        <v>115</v>
      </c>
      <c r="S8" s="10" t="s">
        <v>122</v>
      </c>
      <c r="T8" s="6" t="s">
        <v>62</v>
      </c>
      <c r="U8" s="7" t="s">
        <v>63</v>
      </c>
      <c r="V8" s="7" t="s">
        <v>123</v>
      </c>
      <c r="W8" s="7" t="s">
        <v>124</v>
      </c>
      <c r="X8" s="7" t="s">
        <v>125</v>
      </c>
      <c r="Y8" s="15" t="s">
        <v>123</v>
      </c>
      <c r="Z8" s="7" t="s">
        <v>126</v>
      </c>
      <c r="AA8" s="8" t="s">
        <v>48</v>
      </c>
      <c r="AB8" s="18">
        <f t="shared" si="0"/>
        <v>3.61</v>
      </c>
      <c r="AC8" s="3"/>
    </row>
    <row r="9" spans="1:29" ht="24" customHeight="1">
      <c r="A9" s="6" t="s">
        <v>127</v>
      </c>
      <c r="B9" s="7" t="s">
        <v>113</v>
      </c>
      <c r="C9" s="7" t="s">
        <v>114</v>
      </c>
      <c r="D9" s="7"/>
      <c r="E9" s="7" t="s">
        <v>128</v>
      </c>
      <c r="F9" s="7" t="s">
        <v>129</v>
      </c>
      <c r="G9" s="7" t="s">
        <v>130</v>
      </c>
      <c r="H9" s="7" t="s">
        <v>131</v>
      </c>
      <c r="I9" s="7" t="s">
        <v>87</v>
      </c>
      <c r="J9" s="8" t="s">
        <v>38</v>
      </c>
      <c r="K9" s="9" t="s">
        <v>39</v>
      </c>
      <c r="L9" s="6" t="s">
        <v>132</v>
      </c>
      <c r="M9" s="7" t="s">
        <v>127</v>
      </c>
      <c r="N9" s="7" t="s">
        <v>113</v>
      </c>
      <c r="O9" s="7" t="s">
        <v>120</v>
      </c>
      <c r="P9" s="7" t="s">
        <v>133</v>
      </c>
      <c r="Q9" s="7" t="s">
        <v>93</v>
      </c>
      <c r="R9" s="8" t="s">
        <v>128</v>
      </c>
      <c r="S9" s="10" t="s">
        <v>134</v>
      </c>
      <c r="T9" s="6" t="s">
        <v>62</v>
      </c>
      <c r="U9" s="7" t="s">
        <v>63</v>
      </c>
      <c r="V9" s="7" t="s">
        <v>123</v>
      </c>
      <c r="W9" s="7" t="s">
        <v>124</v>
      </c>
      <c r="X9" s="7" t="s">
        <v>135</v>
      </c>
      <c r="Y9" s="15" t="s">
        <v>123</v>
      </c>
      <c r="Z9" s="7" t="s">
        <v>136</v>
      </c>
      <c r="AA9" s="8" t="s">
        <v>48</v>
      </c>
      <c r="AB9" s="18">
        <f t="shared" si="0"/>
        <v>2.5299999999999998</v>
      </c>
      <c r="AC9" s="3"/>
    </row>
    <row r="10" spans="1:29" ht="24" customHeight="1">
      <c r="A10" s="6" t="s">
        <v>137</v>
      </c>
      <c r="B10" s="7" t="s">
        <v>138</v>
      </c>
      <c r="C10" s="7" t="s">
        <v>139</v>
      </c>
      <c r="D10" s="7"/>
      <c r="E10" s="7" t="s">
        <v>140</v>
      </c>
      <c r="F10" s="7" t="s">
        <v>141</v>
      </c>
      <c r="G10" s="7" t="s">
        <v>142</v>
      </c>
      <c r="H10" s="7" t="s">
        <v>143</v>
      </c>
      <c r="I10" s="7" t="s">
        <v>144</v>
      </c>
      <c r="J10" s="8" t="s">
        <v>38</v>
      </c>
      <c r="K10" s="9" t="s">
        <v>39</v>
      </c>
      <c r="L10" s="6" t="s">
        <v>145</v>
      </c>
      <c r="M10" s="7" t="s">
        <v>137</v>
      </c>
      <c r="N10" s="7" t="s">
        <v>138</v>
      </c>
      <c r="O10" s="7" t="s">
        <v>146</v>
      </c>
      <c r="P10" s="7" t="s">
        <v>147</v>
      </c>
      <c r="Q10" s="7" t="s">
        <v>60</v>
      </c>
      <c r="R10" s="8" t="s">
        <v>140</v>
      </c>
      <c r="S10" s="10" t="s">
        <v>148</v>
      </c>
      <c r="T10" s="6" t="s">
        <v>62</v>
      </c>
      <c r="U10" s="7" t="s">
        <v>63</v>
      </c>
      <c r="V10" s="7" t="s">
        <v>149</v>
      </c>
      <c r="W10" s="7" t="s">
        <v>96</v>
      </c>
      <c r="X10" s="7" t="s">
        <v>150</v>
      </c>
      <c r="Y10" s="15" t="s">
        <v>149</v>
      </c>
      <c r="Z10" s="7" t="s">
        <v>151</v>
      </c>
      <c r="AA10" s="8" t="s">
        <v>48</v>
      </c>
      <c r="AB10" s="18">
        <f t="shared" si="0"/>
        <v>3.79</v>
      </c>
      <c r="AC10" s="3"/>
    </row>
    <row r="11" spans="1:29" ht="24" customHeight="1">
      <c r="A11" s="6" t="s">
        <v>152</v>
      </c>
      <c r="B11" s="7" t="s">
        <v>138</v>
      </c>
      <c r="C11" s="7" t="s">
        <v>139</v>
      </c>
      <c r="D11" s="7"/>
      <c r="E11" s="7" t="s">
        <v>153</v>
      </c>
      <c r="F11" s="7" t="s">
        <v>154</v>
      </c>
      <c r="G11" s="7" t="s">
        <v>155</v>
      </c>
      <c r="H11" s="7" t="s">
        <v>156</v>
      </c>
      <c r="I11" s="7" t="s">
        <v>37</v>
      </c>
      <c r="J11" s="8" t="s">
        <v>38</v>
      </c>
      <c r="K11" s="9" t="s">
        <v>39</v>
      </c>
      <c r="L11" s="6" t="s">
        <v>157</v>
      </c>
      <c r="M11" s="7" t="s">
        <v>152</v>
      </c>
      <c r="N11" s="7" t="s">
        <v>138</v>
      </c>
      <c r="O11" s="7" t="s">
        <v>146</v>
      </c>
      <c r="P11" s="7" t="s">
        <v>158</v>
      </c>
      <c r="Q11" s="7" t="s">
        <v>60</v>
      </c>
      <c r="R11" s="8" t="s">
        <v>153</v>
      </c>
      <c r="S11" s="10" t="s">
        <v>159</v>
      </c>
      <c r="T11" s="6" t="s">
        <v>62</v>
      </c>
      <c r="U11" s="7" t="s">
        <v>63</v>
      </c>
      <c r="V11" s="7" t="s">
        <v>149</v>
      </c>
      <c r="W11" s="7" t="s">
        <v>96</v>
      </c>
      <c r="X11" s="7" t="s">
        <v>160</v>
      </c>
      <c r="Y11" s="15" t="s">
        <v>149</v>
      </c>
      <c r="Z11" s="7" t="s">
        <v>161</v>
      </c>
      <c r="AA11" s="8" t="s">
        <v>48</v>
      </c>
      <c r="AB11" s="18">
        <f t="shared" si="0"/>
        <v>3.03</v>
      </c>
      <c r="AC11" s="3"/>
    </row>
    <row r="12" spans="1:29" ht="24" customHeight="1">
      <c r="A12" s="6" t="s">
        <v>162</v>
      </c>
      <c r="B12" s="7" t="s">
        <v>70</v>
      </c>
      <c r="C12" s="7" t="s">
        <v>163</v>
      </c>
      <c r="D12" s="7"/>
      <c r="E12" s="7" t="s">
        <v>164</v>
      </c>
      <c r="F12" s="7" t="s">
        <v>95</v>
      </c>
      <c r="G12" s="7" t="s">
        <v>162</v>
      </c>
      <c r="H12" s="7" t="s">
        <v>165</v>
      </c>
      <c r="I12" s="7" t="s">
        <v>37</v>
      </c>
      <c r="J12" s="8" t="s">
        <v>38</v>
      </c>
      <c r="K12" s="9" t="s">
        <v>39</v>
      </c>
      <c r="L12" s="6" t="s">
        <v>166</v>
      </c>
      <c r="M12" s="7" t="s">
        <v>162</v>
      </c>
      <c r="N12" s="7" t="s">
        <v>70</v>
      </c>
      <c r="O12" s="7" t="s">
        <v>167</v>
      </c>
      <c r="P12" s="7" t="s">
        <v>168</v>
      </c>
      <c r="Q12" s="7" t="s">
        <v>169</v>
      </c>
      <c r="R12" s="8" t="s">
        <v>164</v>
      </c>
      <c r="S12" s="10" t="s">
        <v>170</v>
      </c>
      <c r="T12" s="6" t="s">
        <v>62</v>
      </c>
      <c r="U12" s="7" t="s">
        <v>63</v>
      </c>
      <c r="V12" s="7" t="s">
        <v>64</v>
      </c>
      <c r="W12" s="7" t="s">
        <v>80</v>
      </c>
      <c r="X12" s="7" t="s">
        <v>171</v>
      </c>
      <c r="Y12" s="15" t="s">
        <v>64</v>
      </c>
      <c r="Z12" s="7" t="s">
        <v>172</v>
      </c>
      <c r="AA12" s="8" t="s">
        <v>48</v>
      </c>
      <c r="AB12" s="18">
        <f t="shared" si="0"/>
        <v>0.52</v>
      </c>
      <c r="AC12" s="3"/>
    </row>
    <row r="13" spans="1:29" ht="24" customHeight="1">
      <c r="A13" s="6" t="s">
        <v>173</v>
      </c>
      <c r="B13" s="7" t="s">
        <v>70</v>
      </c>
      <c r="C13" s="7" t="s">
        <v>163</v>
      </c>
      <c r="D13" s="7"/>
      <c r="E13" s="7" t="s">
        <v>174</v>
      </c>
      <c r="F13" s="7" t="s">
        <v>175</v>
      </c>
      <c r="G13" s="7" t="s">
        <v>173</v>
      </c>
      <c r="H13" s="7" t="s">
        <v>176</v>
      </c>
      <c r="I13" s="7" t="s">
        <v>35</v>
      </c>
      <c r="J13" s="8" t="s">
        <v>38</v>
      </c>
      <c r="K13" s="9" t="s">
        <v>39</v>
      </c>
      <c r="L13" s="6" t="s">
        <v>166</v>
      </c>
      <c r="M13" s="7" t="s">
        <v>173</v>
      </c>
      <c r="N13" s="7" t="s">
        <v>70</v>
      </c>
      <c r="O13" s="7" t="s">
        <v>167</v>
      </c>
      <c r="P13" s="7" t="s">
        <v>177</v>
      </c>
      <c r="Q13" s="7" t="s">
        <v>169</v>
      </c>
      <c r="R13" s="8" t="s">
        <v>174</v>
      </c>
      <c r="S13" s="10" t="s">
        <v>178</v>
      </c>
      <c r="T13" s="6" t="s">
        <v>62</v>
      </c>
      <c r="U13" s="7" t="s">
        <v>63</v>
      </c>
      <c r="V13" s="7" t="s">
        <v>149</v>
      </c>
      <c r="W13" s="7" t="s">
        <v>80</v>
      </c>
      <c r="X13" s="7" t="s">
        <v>179</v>
      </c>
      <c r="Y13" s="15" t="s">
        <v>149</v>
      </c>
      <c r="Z13" s="7" t="s">
        <v>180</v>
      </c>
      <c r="AA13" s="8" t="s">
        <v>48</v>
      </c>
      <c r="AB13" s="18">
        <f t="shared" si="0"/>
        <v>6.02</v>
      </c>
      <c r="AC13" s="3"/>
    </row>
    <row r="14" spans="1:29" ht="24" customHeight="1">
      <c r="A14" s="6" t="s">
        <v>181</v>
      </c>
      <c r="B14" s="7" t="s">
        <v>182</v>
      </c>
      <c r="C14" s="7" t="s">
        <v>183</v>
      </c>
      <c r="D14" s="7"/>
      <c r="E14" s="7" t="s">
        <v>184</v>
      </c>
      <c r="F14" s="7" t="s">
        <v>185</v>
      </c>
      <c r="G14" s="7" t="s">
        <v>181</v>
      </c>
      <c r="H14" s="7" t="s">
        <v>186</v>
      </c>
      <c r="I14" s="7" t="s">
        <v>35</v>
      </c>
      <c r="J14" s="8" t="s">
        <v>38</v>
      </c>
      <c r="K14" s="9" t="s">
        <v>39</v>
      </c>
      <c r="L14" s="6" t="s">
        <v>187</v>
      </c>
      <c r="M14" s="7" t="s">
        <v>181</v>
      </c>
      <c r="N14" s="7" t="s">
        <v>182</v>
      </c>
      <c r="O14" s="7" t="s">
        <v>188</v>
      </c>
      <c r="P14" s="7" t="s">
        <v>189</v>
      </c>
      <c r="Q14" s="7" t="s">
        <v>78</v>
      </c>
      <c r="R14" s="8" t="s">
        <v>184</v>
      </c>
      <c r="S14" s="10" t="s">
        <v>190</v>
      </c>
      <c r="T14" s="6" t="s">
        <v>62</v>
      </c>
      <c r="U14" s="7" t="s">
        <v>63</v>
      </c>
      <c r="V14" s="7" t="s">
        <v>191</v>
      </c>
      <c r="W14" s="7" t="s">
        <v>80</v>
      </c>
      <c r="X14" s="7" t="s">
        <v>192</v>
      </c>
      <c r="Y14" s="15" t="s">
        <v>191</v>
      </c>
      <c r="Z14" s="7" t="s">
        <v>193</v>
      </c>
      <c r="AA14" s="8" t="s">
        <v>48</v>
      </c>
      <c r="AB14" s="18">
        <f t="shared" si="0"/>
        <v>4.3099999999999996</v>
      </c>
      <c r="AC14" s="3"/>
    </row>
    <row r="15" spans="1:29" ht="64.05" customHeight="1">
      <c r="A15" s="6" t="s">
        <v>194</v>
      </c>
      <c r="B15" s="7" t="s">
        <v>195</v>
      </c>
      <c r="C15" s="7" t="s">
        <v>196</v>
      </c>
      <c r="D15" s="7"/>
      <c r="E15" s="7" t="s">
        <v>197</v>
      </c>
      <c r="F15" s="7" t="s">
        <v>198</v>
      </c>
      <c r="G15" s="7" t="s">
        <v>194</v>
      </c>
      <c r="H15" s="7" t="s">
        <v>199</v>
      </c>
      <c r="I15" s="7" t="s">
        <v>37</v>
      </c>
      <c r="J15" s="8" t="s">
        <v>38</v>
      </c>
      <c r="K15" s="9" t="s">
        <v>39</v>
      </c>
      <c r="L15" s="6" t="s">
        <v>200</v>
      </c>
      <c r="M15" s="7" t="s">
        <v>194</v>
      </c>
      <c r="N15" s="7" t="s">
        <v>195</v>
      </c>
      <c r="O15" s="7" t="s">
        <v>201</v>
      </c>
      <c r="P15" s="7" t="s">
        <v>202</v>
      </c>
      <c r="Q15" s="7" t="s">
        <v>78</v>
      </c>
      <c r="R15" s="8" t="s">
        <v>197</v>
      </c>
      <c r="S15" s="10" t="s">
        <v>203</v>
      </c>
      <c r="T15" s="6" t="s">
        <v>62</v>
      </c>
      <c r="U15" s="7" t="s">
        <v>63</v>
      </c>
      <c r="V15" s="7" t="s">
        <v>35</v>
      </c>
      <c r="W15" s="7" t="s">
        <v>204</v>
      </c>
      <c r="X15" s="7" t="s">
        <v>205</v>
      </c>
      <c r="Y15" s="16">
        <v>4</v>
      </c>
      <c r="Z15" s="7" t="s">
        <v>206</v>
      </c>
      <c r="AA15" s="8" t="s">
        <v>48</v>
      </c>
      <c r="AB15" s="18">
        <f t="shared" si="0"/>
        <v>103.04</v>
      </c>
      <c r="AC15" s="3" t="s">
        <v>207</v>
      </c>
    </row>
    <row r="16" spans="1:29" ht="24" customHeight="1">
      <c r="A16" s="6" t="s">
        <v>208</v>
      </c>
      <c r="B16" s="7" t="s">
        <v>209</v>
      </c>
      <c r="C16" s="7" t="s">
        <v>210</v>
      </c>
      <c r="D16" s="7"/>
      <c r="E16" s="7" t="s">
        <v>211</v>
      </c>
      <c r="F16" s="7" t="s">
        <v>212</v>
      </c>
      <c r="G16" s="7" t="s">
        <v>213</v>
      </c>
      <c r="H16" s="7" t="s">
        <v>214</v>
      </c>
      <c r="I16" s="7" t="s">
        <v>35</v>
      </c>
      <c r="J16" s="8" t="s">
        <v>38</v>
      </c>
      <c r="K16" s="9" t="s">
        <v>39</v>
      </c>
      <c r="L16" s="6" t="s">
        <v>215</v>
      </c>
      <c r="M16" s="7" t="s">
        <v>208</v>
      </c>
      <c r="N16" s="7" t="s">
        <v>209</v>
      </c>
      <c r="O16" s="7" t="s">
        <v>146</v>
      </c>
      <c r="P16" s="7" t="s">
        <v>216</v>
      </c>
      <c r="Q16" s="7" t="s">
        <v>93</v>
      </c>
      <c r="R16" s="8" t="s">
        <v>211</v>
      </c>
      <c r="S16" s="10" t="s">
        <v>217</v>
      </c>
      <c r="T16" s="6" t="s">
        <v>62</v>
      </c>
      <c r="U16" s="7" t="s">
        <v>63</v>
      </c>
      <c r="V16" s="7" t="s">
        <v>123</v>
      </c>
      <c r="W16" s="7" t="s">
        <v>124</v>
      </c>
      <c r="X16" s="7" t="s">
        <v>218</v>
      </c>
      <c r="Y16" s="15" t="s">
        <v>123</v>
      </c>
      <c r="Z16" s="7" t="s">
        <v>219</v>
      </c>
      <c r="AA16" s="8" t="s">
        <v>48</v>
      </c>
      <c r="AB16" s="18">
        <f t="shared" si="0"/>
        <v>1.37</v>
      </c>
      <c r="AC16" s="3"/>
    </row>
    <row r="17" spans="1:29" ht="24" customHeight="1">
      <c r="A17" s="6" t="s">
        <v>220</v>
      </c>
      <c r="B17" s="7" t="s">
        <v>100</v>
      </c>
      <c r="C17" s="7" t="s">
        <v>221</v>
      </c>
      <c r="D17" s="7"/>
      <c r="E17" s="7" t="s">
        <v>222</v>
      </c>
      <c r="F17" s="7" t="s">
        <v>223</v>
      </c>
      <c r="G17" s="7" t="s">
        <v>224</v>
      </c>
      <c r="H17" s="7" t="s">
        <v>225</v>
      </c>
      <c r="I17" s="7" t="s">
        <v>37</v>
      </c>
      <c r="J17" s="8" t="s">
        <v>38</v>
      </c>
      <c r="K17" s="9" t="s">
        <v>39</v>
      </c>
      <c r="L17" s="6" t="s">
        <v>226</v>
      </c>
      <c r="M17" s="7" t="s">
        <v>220</v>
      </c>
      <c r="N17" s="7" t="s">
        <v>100</v>
      </c>
      <c r="O17" s="7" t="s">
        <v>227</v>
      </c>
      <c r="P17" s="7" t="s">
        <v>228</v>
      </c>
      <c r="Q17" s="7" t="s">
        <v>60</v>
      </c>
      <c r="R17" s="8" t="s">
        <v>222</v>
      </c>
      <c r="S17" s="10" t="s">
        <v>229</v>
      </c>
      <c r="T17" s="6" t="s">
        <v>62</v>
      </c>
      <c r="U17" s="7" t="s">
        <v>63</v>
      </c>
      <c r="V17" s="7" t="s">
        <v>35</v>
      </c>
      <c r="W17" s="7" t="s">
        <v>230</v>
      </c>
      <c r="X17" s="7" t="s">
        <v>231</v>
      </c>
      <c r="Y17" s="15" t="s">
        <v>37</v>
      </c>
      <c r="Z17" s="7" t="s">
        <v>232</v>
      </c>
      <c r="AA17" s="8" t="s">
        <v>48</v>
      </c>
      <c r="AB17" s="18">
        <f t="shared" si="0"/>
        <v>6.48</v>
      </c>
      <c r="AC17" s="3"/>
    </row>
    <row r="18" spans="1:29" ht="24" customHeight="1">
      <c r="A18" s="6" t="s">
        <v>233</v>
      </c>
      <c r="B18" s="7" t="s">
        <v>234</v>
      </c>
      <c r="C18" s="7" t="s">
        <v>235</v>
      </c>
      <c r="D18" s="7"/>
      <c r="E18" s="7" t="s">
        <v>236</v>
      </c>
      <c r="F18" s="7" t="s">
        <v>237</v>
      </c>
      <c r="G18" s="7" t="s">
        <v>233</v>
      </c>
      <c r="H18" s="7" t="s">
        <v>238</v>
      </c>
      <c r="I18" s="7" t="s">
        <v>87</v>
      </c>
      <c r="J18" s="8" t="s">
        <v>38</v>
      </c>
      <c r="K18" s="9" t="s">
        <v>39</v>
      </c>
      <c r="L18" s="6" t="s">
        <v>239</v>
      </c>
      <c r="M18" s="7" t="s">
        <v>233</v>
      </c>
      <c r="N18" s="7" t="s">
        <v>234</v>
      </c>
      <c r="O18" s="7" t="s">
        <v>146</v>
      </c>
      <c r="P18" s="7" t="s">
        <v>240</v>
      </c>
      <c r="Q18" s="7" t="s">
        <v>241</v>
      </c>
      <c r="R18" s="8" t="s">
        <v>236</v>
      </c>
      <c r="S18" s="10" t="s">
        <v>242</v>
      </c>
      <c r="T18" s="6" t="s">
        <v>62</v>
      </c>
      <c r="U18" s="7" t="s">
        <v>63</v>
      </c>
      <c r="V18" s="7" t="s">
        <v>149</v>
      </c>
      <c r="W18" s="7" t="s">
        <v>96</v>
      </c>
      <c r="X18" s="7" t="s">
        <v>243</v>
      </c>
      <c r="Y18" s="15" t="s">
        <v>149</v>
      </c>
      <c r="Z18" s="7" t="s">
        <v>244</v>
      </c>
      <c r="AA18" s="8" t="s">
        <v>48</v>
      </c>
      <c r="AB18" s="18">
        <f t="shared" si="0"/>
        <v>3.24</v>
      </c>
      <c r="AC18" s="3"/>
    </row>
    <row r="19" spans="1:29" ht="64.05" customHeight="1">
      <c r="A19" s="6" t="s">
        <v>245</v>
      </c>
      <c r="B19" s="7" t="s">
        <v>246</v>
      </c>
      <c r="C19" s="7" t="s">
        <v>247</v>
      </c>
      <c r="D19" s="7"/>
      <c r="E19" s="7" t="s">
        <v>248</v>
      </c>
      <c r="F19" s="7" t="s">
        <v>249</v>
      </c>
      <c r="G19" s="7" t="s">
        <v>245</v>
      </c>
      <c r="H19" s="7" t="s">
        <v>250</v>
      </c>
      <c r="I19" s="7" t="s">
        <v>35</v>
      </c>
      <c r="J19" s="8" t="s">
        <v>38</v>
      </c>
      <c r="K19" s="9" t="s">
        <v>39</v>
      </c>
      <c r="L19" s="6" t="s">
        <v>251</v>
      </c>
      <c r="M19" s="7" t="s">
        <v>245</v>
      </c>
      <c r="N19" s="7" t="s">
        <v>246</v>
      </c>
      <c r="O19" s="7" t="s">
        <v>252</v>
      </c>
      <c r="P19" s="7" t="s">
        <v>253</v>
      </c>
      <c r="Q19" s="7" t="s">
        <v>78</v>
      </c>
      <c r="R19" s="8" t="s">
        <v>248</v>
      </c>
      <c r="S19" s="10" t="s">
        <v>254</v>
      </c>
      <c r="T19" s="6" t="s">
        <v>62</v>
      </c>
      <c r="U19" s="7" t="s">
        <v>63</v>
      </c>
      <c r="V19" s="7" t="s">
        <v>35</v>
      </c>
      <c r="W19" s="7" t="s">
        <v>124</v>
      </c>
      <c r="X19" s="7" t="s">
        <v>255</v>
      </c>
      <c r="Y19" s="16">
        <v>2</v>
      </c>
      <c r="Z19" s="7" t="s">
        <v>256</v>
      </c>
      <c r="AA19" s="8" t="s">
        <v>48</v>
      </c>
      <c r="AB19" s="18">
        <f t="shared" si="0"/>
        <v>18.239999999999998</v>
      </c>
      <c r="AC19" s="3" t="s">
        <v>257</v>
      </c>
    </row>
    <row r="20" spans="1:29" ht="64.05" customHeight="1">
      <c r="A20" s="6" t="s">
        <v>258</v>
      </c>
      <c r="B20" s="7" t="s">
        <v>259</v>
      </c>
      <c r="C20" s="7" t="s">
        <v>260</v>
      </c>
      <c r="D20" s="7"/>
      <c r="E20" s="7" t="s">
        <v>261</v>
      </c>
      <c r="F20" s="7" t="s">
        <v>262</v>
      </c>
      <c r="G20" s="7" t="s">
        <v>258</v>
      </c>
      <c r="H20" s="7" t="s">
        <v>263</v>
      </c>
      <c r="I20" s="7" t="s">
        <v>35</v>
      </c>
      <c r="J20" s="8" t="s">
        <v>38</v>
      </c>
      <c r="K20" s="9" t="s">
        <v>39</v>
      </c>
      <c r="L20" s="6" t="s">
        <v>264</v>
      </c>
      <c r="M20" s="7" t="s">
        <v>258</v>
      </c>
      <c r="N20" s="7" t="s">
        <v>259</v>
      </c>
      <c r="O20" s="7" t="s">
        <v>265</v>
      </c>
      <c r="P20" s="7" t="s">
        <v>266</v>
      </c>
      <c r="Q20" s="7" t="s">
        <v>267</v>
      </c>
      <c r="R20" s="8" t="s">
        <v>261</v>
      </c>
      <c r="S20" s="10" t="s">
        <v>268</v>
      </c>
      <c r="T20" s="6" t="s">
        <v>62</v>
      </c>
      <c r="U20" s="7" t="s">
        <v>63</v>
      </c>
      <c r="V20" s="7" t="s">
        <v>35</v>
      </c>
      <c r="W20" s="7" t="s">
        <v>269</v>
      </c>
      <c r="X20" s="7" t="s">
        <v>270</v>
      </c>
      <c r="Y20" s="16">
        <v>2</v>
      </c>
      <c r="Z20" s="7" t="s">
        <v>271</v>
      </c>
      <c r="AA20" s="8" t="s">
        <v>48</v>
      </c>
      <c r="AB20" s="18">
        <f t="shared" si="0"/>
        <v>60.86</v>
      </c>
      <c r="AC20" s="3" t="s">
        <v>257</v>
      </c>
    </row>
    <row r="21" spans="1:29" ht="24" customHeight="1">
      <c r="A21" s="6" t="s">
        <v>272</v>
      </c>
      <c r="B21" s="7" t="s">
        <v>138</v>
      </c>
      <c r="C21" s="7" t="s">
        <v>139</v>
      </c>
      <c r="D21" s="7"/>
      <c r="E21" s="7" t="s">
        <v>273</v>
      </c>
      <c r="F21" s="7" t="s">
        <v>274</v>
      </c>
      <c r="G21" s="7" t="s">
        <v>275</v>
      </c>
      <c r="H21" s="7" t="s">
        <v>276</v>
      </c>
      <c r="I21" s="7" t="s">
        <v>37</v>
      </c>
      <c r="J21" s="8" t="s">
        <v>38</v>
      </c>
      <c r="K21" s="9" t="s">
        <v>39</v>
      </c>
      <c r="L21" s="6" t="s">
        <v>277</v>
      </c>
      <c r="M21" s="7" t="s">
        <v>272</v>
      </c>
      <c r="N21" s="7" t="s">
        <v>138</v>
      </c>
      <c r="O21" s="7" t="s">
        <v>146</v>
      </c>
      <c r="P21" s="7" t="s">
        <v>278</v>
      </c>
      <c r="Q21" s="7" t="s">
        <v>60</v>
      </c>
      <c r="R21" s="8" t="s">
        <v>273</v>
      </c>
      <c r="S21" s="10" t="s">
        <v>279</v>
      </c>
      <c r="T21" s="6" t="s">
        <v>62</v>
      </c>
      <c r="U21" s="7" t="s">
        <v>63</v>
      </c>
      <c r="V21" s="7" t="s">
        <v>149</v>
      </c>
      <c r="W21" s="7" t="s">
        <v>96</v>
      </c>
      <c r="X21" s="7" t="s">
        <v>280</v>
      </c>
      <c r="Y21" s="15" t="s">
        <v>149</v>
      </c>
      <c r="Z21" s="7" t="s">
        <v>281</v>
      </c>
      <c r="AA21" s="8" t="s">
        <v>48</v>
      </c>
      <c r="AB21" s="18">
        <f t="shared" si="0"/>
        <v>5.89</v>
      </c>
      <c r="AC21" s="3"/>
    </row>
    <row r="22" spans="1:29" ht="24" customHeight="1">
      <c r="A22" s="6" t="s">
        <v>282</v>
      </c>
      <c r="B22" s="7" t="s">
        <v>138</v>
      </c>
      <c r="C22" s="7" t="s">
        <v>139</v>
      </c>
      <c r="D22" s="7"/>
      <c r="E22" s="7" t="s">
        <v>283</v>
      </c>
      <c r="F22" s="7" t="s">
        <v>191</v>
      </c>
      <c r="G22" s="7" t="s">
        <v>284</v>
      </c>
      <c r="H22" s="7" t="s">
        <v>285</v>
      </c>
      <c r="I22" s="7" t="s">
        <v>35</v>
      </c>
      <c r="J22" s="8" t="s">
        <v>38</v>
      </c>
      <c r="K22" s="9" t="s">
        <v>39</v>
      </c>
      <c r="L22" s="6" t="s">
        <v>286</v>
      </c>
      <c r="M22" s="7" t="s">
        <v>282</v>
      </c>
      <c r="N22" s="7" t="s">
        <v>138</v>
      </c>
      <c r="O22" s="7" t="s">
        <v>146</v>
      </c>
      <c r="P22" s="7" t="s">
        <v>287</v>
      </c>
      <c r="Q22" s="7" t="s">
        <v>60</v>
      </c>
      <c r="R22" s="8" t="s">
        <v>283</v>
      </c>
      <c r="S22" s="10" t="s">
        <v>288</v>
      </c>
      <c r="T22" s="6" t="s">
        <v>62</v>
      </c>
      <c r="U22" s="7" t="s">
        <v>63</v>
      </c>
      <c r="V22" s="7" t="s">
        <v>123</v>
      </c>
      <c r="W22" s="7" t="s">
        <v>96</v>
      </c>
      <c r="X22" s="7" t="s">
        <v>289</v>
      </c>
      <c r="Y22" s="15" t="s">
        <v>123</v>
      </c>
      <c r="Z22" s="7" t="s">
        <v>290</v>
      </c>
      <c r="AA22" s="8" t="s">
        <v>48</v>
      </c>
      <c r="AB22" s="18">
        <f t="shared" si="0"/>
        <v>3.06</v>
      </c>
      <c r="AC22" s="3"/>
    </row>
    <row r="23" spans="1:29" ht="24" customHeight="1">
      <c r="A23" s="6" t="s">
        <v>291</v>
      </c>
      <c r="B23" s="7" t="s">
        <v>292</v>
      </c>
      <c r="C23" s="7" t="s">
        <v>139</v>
      </c>
      <c r="D23" s="7"/>
      <c r="E23" s="7" t="s">
        <v>293</v>
      </c>
      <c r="F23" s="7" t="s">
        <v>294</v>
      </c>
      <c r="G23" s="7" t="s">
        <v>295</v>
      </c>
      <c r="H23" s="7" t="s">
        <v>296</v>
      </c>
      <c r="I23" s="7" t="s">
        <v>35</v>
      </c>
      <c r="J23" s="8" t="s">
        <v>38</v>
      </c>
      <c r="K23" s="9" t="s">
        <v>39</v>
      </c>
      <c r="L23" s="6" t="s">
        <v>297</v>
      </c>
      <c r="M23" s="7" t="s">
        <v>291</v>
      </c>
      <c r="N23" s="7" t="s">
        <v>292</v>
      </c>
      <c r="O23" s="7" t="s">
        <v>146</v>
      </c>
      <c r="P23" s="7" t="s">
        <v>298</v>
      </c>
      <c r="Q23" s="7" t="s">
        <v>60</v>
      </c>
      <c r="R23" s="8" t="s">
        <v>293</v>
      </c>
      <c r="S23" s="10" t="s">
        <v>299</v>
      </c>
      <c r="T23" s="6" t="s">
        <v>62</v>
      </c>
      <c r="U23" s="7" t="s">
        <v>63</v>
      </c>
      <c r="V23" s="7" t="s">
        <v>191</v>
      </c>
      <c r="W23" s="7" t="s">
        <v>96</v>
      </c>
      <c r="X23" s="7" t="s">
        <v>300</v>
      </c>
      <c r="Y23" s="15" t="s">
        <v>191</v>
      </c>
      <c r="Z23" s="7" t="s">
        <v>301</v>
      </c>
      <c r="AA23" s="8" t="s">
        <v>48</v>
      </c>
      <c r="AB23" s="18">
        <f t="shared" si="0"/>
        <v>1.01</v>
      </c>
      <c r="AC23" s="3"/>
    </row>
    <row r="24" spans="1:29" ht="24" customHeight="1">
      <c r="A24" s="6" t="s">
        <v>302</v>
      </c>
      <c r="B24" s="7" t="s">
        <v>292</v>
      </c>
      <c r="C24" s="7" t="s">
        <v>139</v>
      </c>
      <c r="D24" s="7"/>
      <c r="E24" s="7" t="s">
        <v>303</v>
      </c>
      <c r="F24" s="7" t="s">
        <v>144</v>
      </c>
      <c r="G24" s="7" t="s">
        <v>304</v>
      </c>
      <c r="H24" s="7" t="s">
        <v>305</v>
      </c>
      <c r="I24" s="7" t="s">
        <v>35</v>
      </c>
      <c r="J24" s="8" t="s">
        <v>38</v>
      </c>
      <c r="K24" s="9" t="s">
        <v>39</v>
      </c>
      <c r="L24" s="6" t="s">
        <v>306</v>
      </c>
      <c r="M24" s="7" t="s">
        <v>302</v>
      </c>
      <c r="N24" s="7" t="s">
        <v>292</v>
      </c>
      <c r="O24" s="7" t="s">
        <v>146</v>
      </c>
      <c r="P24" s="7" t="s">
        <v>307</v>
      </c>
      <c r="Q24" s="7" t="s">
        <v>60</v>
      </c>
      <c r="R24" s="8" t="s">
        <v>303</v>
      </c>
      <c r="S24" s="10" t="s">
        <v>308</v>
      </c>
      <c r="T24" s="6" t="s">
        <v>62</v>
      </c>
      <c r="U24" s="7" t="s">
        <v>63</v>
      </c>
      <c r="V24" s="7" t="s">
        <v>191</v>
      </c>
      <c r="W24" s="7" t="s">
        <v>96</v>
      </c>
      <c r="X24" s="7" t="s">
        <v>309</v>
      </c>
      <c r="Y24" s="15" t="s">
        <v>191</v>
      </c>
      <c r="Z24" s="7" t="s">
        <v>310</v>
      </c>
      <c r="AA24" s="8" t="s">
        <v>48</v>
      </c>
      <c r="AB24" s="18">
        <f t="shared" si="0"/>
        <v>5.53</v>
      </c>
      <c r="AC24" s="3"/>
    </row>
    <row r="25" spans="1:29" ht="64.05" customHeight="1">
      <c r="A25" s="6" t="s">
        <v>311</v>
      </c>
      <c r="B25" s="7" t="s">
        <v>312</v>
      </c>
      <c r="C25" s="7" t="s">
        <v>313</v>
      </c>
      <c r="D25" s="7"/>
      <c r="E25" s="7" t="s">
        <v>314</v>
      </c>
      <c r="F25" s="7" t="s">
        <v>56</v>
      </c>
      <c r="G25" s="7" t="s">
        <v>311</v>
      </c>
      <c r="H25" s="7" t="s">
        <v>315</v>
      </c>
      <c r="I25" s="7" t="s">
        <v>35</v>
      </c>
      <c r="J25" s="8" t="s">
        <v>38</v>
      </c>
      <c r="K25" s="9" t="s">
        <v>39</v>
      </c>
      <c r="L25" s="6" t="s">
        <v>316</v>
      </c>
      <c r="M25" s="7" t="s">
        <v>311</v>
      </c>
      <c r="N25" s="7" t="s">
        <v>312</v>
      </c>
      <c r="O25" s="7" t="s">
        <v>317</v>
      </c>
      <c r="P25" s="7" t="s">
        <v>318</v>
      </c>
      <c r="Q25" s="7" t="s">
        <v>319</v>
      </c>
      <c r="R25" s="8" t="s">
        <v>314</v>
      </c>
      <c r="S25" s="10" t="s">
        <v>320</v>
      </c>
      <c r="T25" s="6" t="s">
        <v>62</v>
      </c>
      <c r="U25" s="7" t="s">
        <v>63</v>
      </c>
      <c r="V25" s="7" t="s">
        <v>35</v>
      </c>
      <c r="W25" s="7" t="s">
        <v>80</v>
      </c>
      <c r="X25" s="7" t="s">
        <v>321</v>
      </c>
      <c r="Y25" s="16">
        <v>2</v>
      </c>
      <c r="Z25" s="7" t="s">
        <v>322</v>
      </c>
      <c r="AA25" s="8" t="s">
        <v>48</v>
      </c>
      <c r="AB25" s="18">
        <f t="shared" si="0"/>
        <v>4.9400000000000004</v>
      </c>
      <c r="AC25" s="3" t="s">
        <v>257</v>
      </c>
    </row>
    <row r="26" spans="1:29" ht="24" customHeight="1">
      <c r="A26" s="6" t="s">
        <v>323</v>
      </c>
      <c r="B26" s="7" t="s">
        <v>209</v>
      </c>
      <c r="C26" s="7" t="s">
        <v>210</v>
      </c>
      <c r="D26" s="7"/>
      <c r="E26" s="7" t="s">
        <v>324</v>
      </c>
      <c r="F26" s="7" t="s">
        <v>325</v>
      </c>
      <c r="G26" s="7" t="s">
        <v>130</v>
      </c>
      <c r="H26" s="7" t="s">
        <v>326</v>
      </c>
      <c r="I26" s="7" t="s">
        <v>64</v>
      </c>
      <c r="J26" s="8" t="s">
        <v>38</v>
      </c>
      <c r="K26" s="9" t="s">
        <v>39</v>
      </c>
      <c r="L26" s="6" t="s">
        <v>327</v>
      </c>
      <c r="M26" s="7" t="s">
        <v>323</v>
      </c>
      <c r="N26" s="7" t="s">
        <v>209</v>
      </c>
      <c r="O26" s="7" t="s">
        <v>146</v>
      </c>
      <c r="P26" s="7" t="s">
        <v>328</v>
      </c>
      <c r="Q26" s="7" t="s">
        <v>93</v>
      </c>
      <c r="R26" s="8" t="s">
        <v>324</v>
      </c>
      <c r="S26" s="10" t="s">
        <v>329</v>
      </c>
      <c r="T26" s="6" t="s">
        <v>62</v>
      </c>
      <c r="U26" s="7" t="s">
        <v>63</v>
      </c>
      <c r="V26" s="7" t="s">
        <v>123</v>
      </c>
      <c r="W26" s="7" t="s">
        <v>124</v>
      </c>
      <c r="X26" s="7" t="s">
        <v>330</v>
      </c>
      <c r="Y26" s="15" t="s">
        <v>123</v>
      </c>
      <c r="Z26" s="7" t="s">
        <v>331</v>
      </c>
      <c r="AA26" s="8" t="s">
        <v>48</v>
      </c>
      <c r="AB26" s="18">
        <f t="shared" si="0"/>
        <v>1.62</v>
      </c>
      <c r="AC26" s="3"/>
    </row>
    <row r="27" spans="1:29" ht="24" customHeight="1">
      <c r="A27" s="6" t="s">
        <v>332</v>
      </c>
      <c r="B27" s="7" t="s">
        <v>113</v>
      </c>
      <c r="C27" s="7" t="s">
        <v>210</v>
      </c>
      <c r="D27" s="7"/>
      <c r="E27" s="7" t="s">
        <v>333</v>
      </c>
      <c r="F27" s="7" t="s">
        <v>334</v>
      </c>
      <c r="G27" s="7" t="s">
        <v>335</v>
      </c>
      <c r="H27" s="7" t="s">
        <v>336</v>
      </c>
      <c r="I27" s="7" t="s">
        <v>73</v>
      </c>
      <c r="J27" s="8" t="s">
        <v>38</v>
      </c>
      <c r="K27" s="9" t="s">
        <v>39</v>
      </c>
      <c r="L27" s="6" t="s">
        <v>337</v>
      </c>
      <c r="M27" s="7" t="s">
        <v>332</v>
      </c>
      <c r="N27" s="7" t="s">
        <v>113</v>
      </c>
      <c r="O27" s="7" t="s">
        <v>146</v>
      </c>
      <c r="P27" s="7" t="s">
        <v>338</v>
      </c>
      <c r="Q27" s="7" t="s">
        <v>93</v>
      </c>
      <c r="R27" s="8" t="s">
        <v>333</v>
      </c>
      <c r="S27" s="10" t="s">
        <v>339</v>
      </c>
      <c r="T27" s="6" t="s">
        <v>62</v>
      </c>
      <c r="U27" s="7" t="s">
        <v>63</v>
      </c>
      <c r="V27" s="7" t="s">
        <v>123</v>
      </c>
      <c r="W27" s="7" t="s">
        <v>124</v>
      </c>
      <c r="X27" s="7" t="s">
        <v>340</v>
      </c>
      <c r="Y27" s="15" t="s">
        <v>123</v>
      </c>
      <c r="Z27" s="7" t="s">
        <v>341</v>
      </c>
      <c r="AA27" s="8" t="s">
        <v>48</v>
      </c>
      <c r="AB27" s="18">
        <f t="shared" si="0"/>
        <v>1.58</v>
      </c>
      <c r="AC27" s="3"/>
    </row>
    <row r="28" spans="1:29" ht="24" customHeight="1">
      <c r="A28" s="6" t="s">
        <v>342</v>
      </c>
      <c r="B28" s="7" t="s">
        <v>209</v>
      </c>
      <c r="C28" s="7" t="s">
        <v>210</v>
      </c>
      <c r="D28" s="7"/>
      <c r="E28" s="7" t="s">
        <v>343</v>
      </c>
      <c r="F28" s="7" t="s">
        <v>344</v>
      </c>
      <c r="G28" s="7" t="s">
        <v>345</v>
      </c>
      <c r="H28" s="7" t="s">
        <v>346</v>
      </c>
      <c r="I28" s="7" t="s">
        <v>154</v>
      </c>
      <c r="J28" s="8" t="s">
        <v>38</v>
      </c>
      <c r="K28" s="9" t="s">
        <v>39</v>
      </c>
      <c r="L28" s="6" t="s">
        <v>347</v>
      </c>
      <c r="M28" s="7" t="s">
        <v>342</v>
      </c>
      <c r="N28" s="7" t="s">
        <v>209</v>
      </c>
      <c r="O28" s="7" t="s">
        <v>146</v>
      </c>
      <c r="P28" s="7" t="s">
        <v>348</v>
      </c>
      <c r="Q28" s="7" t="s">
        <v>93</v>
      </c>
      <c r="R28" s="8" t="s">
        <v>343</v>
      </c>
      <c r="S28" s="10" t="s">
        <v>349</v>
      </c>
      <c r="T28" s="6" t="s">
        <v>62</v>
      </c>
      <c r="U28" s="7" t="s">
        <v>63</v>
      </c>
      <c r="V28" s="7" t="s">
        <v>123</v>
      </c>
      <c r="W28" s="7" t="s">
        <v>124</v>
      </c>
      <c r="X28" s="7" t="s">
        <v>350</v>
      </c>
      <c r="Y28" s="15" t="s">
        <v>123</v>
      </c>
      <c r="Z28" s="7" t="s">
        <v>351</v>
      </c>
      <c r="AA28" s="8" t="s">
        <v>48</v>
      </c>
      <c r="AB28" s="18">
        <f t="shared" si="0"/>
        <v>2.11</v>
      </c>
      <c r="AC28" s="3"/>
    </row>
    <row r="29" spans="1:29" ht="24" customHeight="1">
      <c r="A29" s="6" t="s">
        <v>352</v>
      </c>
      <c r="B29" s="7" t="s">
        <v>113</v>
      </c>
      <c r="C29" s="7" t="s">
        <v>210</v>
      </c>
      <c r="D29" s="7"/>
      <c r="E29" s="7" t="s">
        <v>353</v>
      </c>
      <c r="F29" s="7" t="s">
        <v>354</v>
      </c>
      <c r="G29" s="7" t="s">
        <v>355</v>
      </c>
      <c r="H29" s="7" t="s">
        <v>356</v>
      </c>
      <c r="I29" s="7" t="s">
        <v>64</v>
      </c>
      <c r="J29" s="8" t="s">
        <v>38</v>
      </c>
      <c r="K29" s="9" t="s">
        <v>39</v>
      </c>
      <c r="L29" s="6" t="s">
        <v>357</v>
      </c>
      <c r="M29" s="7" t="s">
        <v>352</v>
      </c>
      <c r="N29" s="7" t="s">
        <v>113</v>
      </c>
      <c r="O29" s="7" t="s">
        <v>146</v>
      </c>
      <c r="P29" s="7" t="s">
        <v>358</v>
      </c>
      <c r="Q29" s="7" t="s">
        <v>93</v>
      </c>
      <c r="R29" s="8" t="s">
        <v>353</v>
      </c>
      <c r="S29" s="10" t="s">
        <v>359</v>
      </c>
      <c r="T29" s="6" t="s">
        <v>62</v>
      </c>
      <c r="U29" s="7" t="s">
        <v>63</v>
      </c>
      <c r="V29" s="7" t="s">
        <v>123</v>
      </c>
      <c r="W29" s="7" t="s">
        <v>124</v>
      </c>
      <c r="X29" s="7" t="s">
        <v>360</v>
      </c>
      <c r="Y29" s="15" t="s">
        <v>123</v>
      </c>
      <c r="Z29" s="7" t="s">
        <v>361</v>
      </c>
      <c r="AA29" s="8" t="s">
        <v>48</v>
      </c>
      <c r="AB29" s="18">
        <f t="shared" si="0"/>
        <v>2.0099999999999998</v>
      </c>
      <c r="AC29" s="3"/>
    </row>
    <row r="30" spans="1:29" ht="24" customHeight="1">
      <c r="A30" s="6" t="s">
        <v>362</v>
      </c>
      <c r="B30" s="7" t="s">
        <v>113</v>
      </c>
      <c r="C30" s="7" t="s">
        <v>210</v>
      </c>
      <c r="D30" s="7"/>
      <c r="E30" s="7" t="s">
        <v>363</v>
      </c>
      <c r="F30" s="7" t="s">
        <v>364</v>
      </c>
      <c r="G30" s="7" t="s">
        <v>365</v>
      </c>
      <c r="H30" s="7" t="s">
        <v>366</v>
      </c>
      <c r="I30" s="7" t="s">
        <v>35</v>
      </c>
      <c r="J30" s="8" t="s">
        <v>38</v>
      </c>
      <c r="K30" s="9" t="s">
        <v>39</v>
      </c>
      <c r="L30" s="6" t="s">
        <v>367</v>
      </c>
      <c r="M30" s="7" t="s">
        <v>362</v>
      </c>
      <c r="N30" s="7" t="s">
        <v>113</v>
      </c>
      <c r="O30" s="7" t="s">
        <v>146</v>
      </c>
      <c r="P30" s="7" t="s">
        <v>368</v>
      </c>
      <c r="Q30" s="7" t="s">
        <v>93</v>
      </c>
      <c r="R30" s="8" t="s">
        <v>363</v>
      </c>
      <c r="S30" s="10" t="s">
        <v>369</v>
      </c>
      <c r="T30" s="6" t="s">
        <v>62</v>
      </c>
      <c r="U30" s="7" t="s">
        <v>63</v>
      </c>
      <c r="V30" s="7" t="s">
        <v>123</v>
      </c>
      <c r="W30" s="7" t="s">
        <v>124</v>
      </c>
      <c r="X30" s="7" t="s">
        <v>370</v>
      </c>
      <c r="Y30" s="15" t="s">
        <v>123</v>
      </c>
      <c r="Z30" s="7" t="s">
        <v>371</v>
      </c>
      <c r="AA30" s="8" t="s">
        <v>48</v>
      </c>
      <c r="AB30" s="18">
        <f t="shared" si="0"/>
        <v>1.92</v>
      </c>
      <c r="AC30" s="3"/>
    </row>
    <row r="31" spans="1:29" ht="64.05" customHeight="1">
      <c r="A31" s="6" t="s">
        <v>372</v>
      </c>
      <c r="B31" s="7" t="s">
        <v>373</v>
      </c>
      <c r="C31" s="7" t="s">
        <v>374</v>
      </c>
      <c r="D31" s="7"/>
      <c r="E31" s="7" t="s">
        <v>375</v>
      </c>
      <c r="F31" s="7" t="s">
        <v>376</v>
      </c>
      <c r="G31" s="7" t="s">
        <v>372</v>
      </c>
      <c r="H31" s="7" t="s">
        <v>377</v>
      </c>
      <c r="I31" s="7" t="s">
        <v>35</v>
      </c>
      <c r="J31" s="8" t="s">
        <v>38</v>
      </c>
      <c r="K31" s="9" t="s">
        <v>39</v>
      </c>
      <c r="L31" s="6" t="s">
        <v>378</v>
      </c>
      <c r="M31" s="7" t="s">
        <v>372</v>
      </c>
      <c r="N31" s="7" t="s">
        <v>373</v>
      </c>
      <c r="O31" s="7" t="s">
        <v>379</v>
      </c>
      <c r="P31" s="7" t="s">
        <v>380</v>
      </c>
      <c r="Q31" s="7" t="s">
        <v>319</v>
      </c>
      <c r="R31" s="8" t="s">
        <v>375</v>
      </c>
      <c r="S31" s="10" t="s">
        <v>381</v>
      </c>
      <c r="T31" s="6" t="s">
        <v>45</v>
      </c>
      <c r="U31" s="7" t="s">
        <v>46</v>
      </c>
      <c r="V31" s="7" t="s">
        <v>35</v>
      </c>
      <c r="W31" s="7" t="s">
        <v>80</v>
      </c>
      <c r="X31" s="7" t="s">
        <v>48</v>
      </c>
      <c r="Y31" s="16">
        <v>2</v>
      </c>
      <c r="Z31" s="7" t="s">
        <v>382</v>
      </c>
      <c r="AA31" s="8" t="s">
        <v>48</v>
      </c>
      <c r="AB31" s="18">
        <f t="shared" si="0"/>
        <v>15.42</v>
      </c>
      <c r="AC31" s="3" t="s">
        <v>257</v>
      </c>
    </row>
    <row r="32" spans="1:29" ht="24" customHeight="1">
      <c r="A32" s="6" t="s">
        <v>383</v>
      </c>
      <c r="B32" s="7" t="s">
        <v>384</v>
      </c>
      <c r="C32" s="7" t="s">
        <v>385</v>
      </c>
      <c r="D32" s="7"/>
      <c r="E32" s="7" t="s">
        <v>386</v>
      </c>
      <c r="F32" s="7" t="s">
        <v>387</v>
      </c>
      <c r="G32" s="7" t="s">
        <v>388</v>
      </c>
      <c r="H32" s="7" t="s">
        <v>389</v>
      </c>
      <c r="I32" s="7" t="s">
        <v>35</v>
      </c>
      <c r="J32" s="8" t="s">
        <v>38</v>
      </c>
      <c r="K32" s="9" t="s">
        <v>39</v>
      </c>
      <c r="L32" s="6" t="s">
        <v>390</v>
      </c>
      <c r="M32" s="7" t="s">
        <v>383</v>
      </c>
      <c r="N32" s="7" t="s">
        <v>384</v>
      </c>
      <c r="O32" s="7" t="s">
        <v>391</v>
      </c>
      <c r="P32" s="7" t="s">
        <v>392</v>
      </c>
      <c r="Q32" s="7" t="s">
        <v>393</v>
      </c>
      <c r="R32" s="8" t="s">
        <v>386</v>
      </c>
      <c r="S32" s="10" t="s">
        <v>394</v>
      </c>
      <c r="T32" s="6" t="s">
        <v>62</v>
      </c>
      <c r="U32" s="7" t="s">
        <v>63</v>
      </c>
      <c r="V32" s="7" t="s">
        <v>95</v>
      </c>
      <c r="W32" s="7" t="s">
        <v>395</v>
      </c>
      <c r="X32" s="7" t="s">
        <v>396</v>
      </c>
      <c r="Y32" s="15" t="s">
        <v>95</v>
      </c>
      <c r="Z32" s="7" t="s">
        <v>397</v>
      </c>
      <c r="AA32" s="8" t="s">
        <v>48</v>
      </c>
      <c r="AB32" s="18">
        <f t="shared" si="0"/>
        <v>2.72</v>
      </c>
      <c r="AC32" s="3"/>
    </row>
    <row r="33" spans="1:29" ht="24" customHeight="1">
      <c r="A33" s="6" t="s">
        <v>398</v>
      </c>
      <c r="B33" s="7" t="s">
        <v>399</v>
      </c>
      <c r="C33" s="7" t="s">
        <v>400</v>
      </c>
      <c r="D33" s="7"/>
      <c r="E33" s="7" t="s">
        <v>401</v>
      </c>
      <c r="F33" s="7" t="s">
        <v>402</v>
      </c>
      <c r="G33" s="7" t="s">
        <v>398</v>
      </c>
      <c r="H33" s="7" t="s">
        <v>403</v>
      </c>
      <c r="I33" s="7" t="s">
        <v>35</v>
      </c>
      <c r="J33" s="8" t="s">
        <v>38</v>
      </c>
      <c r="K33" s="9" t="s">
        <v>39</v>
      </c>
      <c r="L33" s="6" t="s">
        <v>404</v>
      </c>
      <c r="M33" s="7" t="s">
        <v>398</v>
      </c>
      <c r="N33" s="7" t="s">
        <v>399</v>
      </c>
      <c r="O33" s="7" t="s">
        <v>405</v>
      </c>
      <c r="P33" s="7" t="s">
        <v>406</v>
      </c>
      <c r="Q33" s="7" t="s">
        <v>393</v>
      </c>
      <c r="R33" s="8" t="s">
        <v>401</v>
      </c>
      <c r="S33" s="10" t="s">
        <v>407</v>
      </c>
      <c r="T33" s="6" t="s">
        <v>62</v>
      </c>
      <c r="U33" s="7" t="s">
        <v>63</v>
      </c>
      <c r="V33" s="7" t="s">
        <v>64</v>
      </c>
      <c r="W33" s="7" t="s">
        <v>65</v>
      </c>
      <c r="X33" s="7" t="s">
        <v>408</v>
      </c>
      <c r="Y33" s="15" t="s">
        <v>64</v>
      </c>
      <c r="Z33" s="7" t="s">
        <v>409</v>
      </c>
      <c r="AA33" s="8" t="s">
        <v>48</v>
      </c>
      <c r="AB33" s="18">
        <f t="shared" si="0"/>
        <v>9.18</v>
      </c>
      <c r="AC33" s="3"/>
    </row>
    <row r="34" spans="1:29" ht="24" customHeight="1">
      <c r="A34" s="6" t="s">
        <v>410</v>
      </c>
      <c r="B34" s="7" t="s">
        <v>113</v>
      </c>
      <c r="C34" s="7" t="s">
        <v>210</v>
      </c>
      <c r="D34" s="7"/>
      <c r="E34" s="7" t="s">
        <v>411</v>
      </c>
      <c r="F34" s="7" t="s">
        <v>412</v>
      </c>
      <c r="G34" s="7" t="s">
        <v>413</v>
      </c>
      <c r="H34" s="7" t="s">
        <v>414</v>
      </c>
      <c r="I34" s="7" t="s">
        <v>35</v>
      </c>
      <c r="J34" s="8" t="s">
        <v>38</v>
      </c>
      <c r="K34" s="9" t="s">
        <v>39</v>
      </c>
      <c r="L34" s="6" t="s">
        <v>415</v>
      </c>
      <c r="M34" s="7" t="s">
        <v>410</v>
      </c>
      <c r="N34" s="7" t="s">
        <v>113</v>
      </c>
      <c r="O34" s="7" t="s">
        <v>146</v>
      </c>
      <c r="P34" s="7" t="s">
        <v>416</v>
      </c>
      <c r="Q34" s="7" t="s">
        <v>93</v>
      </c>
      <c r="R34" s="8" t="s">
        <v>411</v>
      </c>
      <c r="S34" s="10" t="s">
        <v>417</v>
      </c>
      <c r="T34" s="6" t="s">
        <v>62</v>
      </c>
      <c r="U34" s="7" t="s">
        <v>63</v>
      </c>
      <c r="V34" s="7" t="s">
        <v>123</v>
      </c>
      <c r="W34" s="7" t="s">
        <v>124</v>
      </c>
      <c r="X34" s="7" t="s">
        <v>418</v>
      </c>
      <c r="Y34" s="15" t="s">
        <v>123</v>
      </c>
      <c r="Z34" s="7" t="s">
        <v>419</v>
      </c>
      <c r="AA34" s="8" t="s">
        <v>48</v>
      </c>
      <c r="AB34" s="18">
        <f t="shared" si="0"/>
        <v>2.02</v>
      </c>
      <c r="AC34" s="3"/>
    </row>
    <row r="35" spans="1:29" ht="24" customHeight="1">
      <c r="A35" s="6" t="s">
        <v>420</v>
      </c>
      <c r="B35" s="7" t="s">
        <v>209</v>
      </c>
      <c r="C35" s="7" t="s">
        <v>210</v>
      </c>
      <c r="D35" s="7"/>
      <c r="E35" s="7" t="s">
        <v>421</v>
      </c>
      <c r="F35" s="7" t="s">
        <v>422</v>
      </c>
      <c r="G35" s="7" t="s">
        <v>423</v>
      </c>
      <c r="H35" s="7" t="s">
        <v>424</v>
      </c>
      <c r="I35" s="7" t="s">
        <v>37</v>
      </c>
      <c r="J35" s="8" t="s">
        <v>38</v>
      </c>
      <c r="K35" s="9" t="s">
        <v>39</v>
      </c>
      <c r="L35" s="6" t="s">
        <v>425</v>
      </c>
      <c r="M35" s="7" t="s">
        <v>420</v>
      </c>
      <c r="N35" s="7" t="s">
        <v>209</v>
      </c>
      <c r="O35" s="7" t="s">
        <v>146</v>
      </c>
      <c r="P35" s="7" t="s">
        <v>426</v>
      </c>
      <c r="Q35" s="7" t="s">
        <v>93</v>
      </c>
      <c r="R35" s="8" t="s">
        <v>421</v>
      </c>
      <c r="S35" s="10" t="s">
        <v>427</v>
      </c>
      <c r="T35" s="6" t="s">
        <v>62</v>
      </c>
      <c r="U35" s="7" t="s">
        <v>63</v>
      </c>
      <c r="V35" s="7" t="s">
        <v>123</v>
      </c>
      <c r="W35" s="7" t="s">
        <v>124</v>
      </c>
      <c r="X35" s="7" t="s">
        <v>428</v>
      </c>
      <c r="Y35" s="15" t="s">
        <v>123</v>
      </c>
      <c r="Z35" s="7" t="s">
        <v>429</v>
      </c>
      <c r="AA35" s="8" t="s">
        <v>48</v>
      </c>
      <c r="AB35" s="18">
        <f t="shared" si="0"/>
        <v>1.57</v>
      </c>
      <c r="AC35" s="3"/>
    </row>
    <row r="36" spans="1:29" ht="64.05" customHeight="1">
      <c r="A36" s="6" t="s">
        <v>430</v>
      </c>
      <c r="B36" s="7" t="s">
        <v>431</v>
      </c>
      <c r="C36" s="7" t="s">
        <v>432</v>
      </c>
      <c r="D36" s="7"/>
      <c r="E36" s="7" t="s">
        <v>433</v>
      </c>
      <c r="F36" s="7" t="s">
        <v>434</v>
      </c>
      <c r="G36" s="7" t="s">
        <v>54</v>
      </c>
      <c r="H36" s="7" t="s">
        <v>435</v>
      </c>
      <c r="I36" s="7" t="s">
        <v>154</v>
      </c>
      <c r="J36" s="8" t="s">
        <v>38</v>
      </c>
      <c r="K36" s="9" t="s">
        <v>39</v>
      </c>
      <c r="L36" s="6" t="s">
        <v>436</v>
      </c>
      <c r="M36" s="7" t="s">
        <v>430</v>
      </c>
      <c r="N36" s="7" t="s">
        <v>431</v>
      </c>
      <c r="O36" s="7" t="s">
        <v>120</v>
      </c>
      <c r="P36" s="7" t="s">
        <v>437</v>
      </c>
      <c r="Q36" s="7" t="s">
        <v>60</v>
      </c>
      <c r="R36" s="8" t="s">
        <v>433</v>
      </c>
      <c r="S36" s="10" t="s">
        <v>438</v>
      </c>
      <c r="T36" s="6" t="s">
        <v>62</v>
      </c>
      <c r="U36" s="7" t="s">
        <v>63</v>
      </c>
      <c r="V36" s="7" t="s">
        <v>64</v>
      </c>
      <c r="W36" s="7" t="s">
        <v>80</v>
      </c>
      <c r="X36" s="7" t="s">
        <v>439</v>
      </c>
      <c r="Y36" s="16">
        <v>15</v>
      </c>
      <c r="Z36" s="7" t="s">
        <v>440</v>
      </c>
      <c r="AA36" s="8" t="s">
        <v>48</v>
      </c>
      <c r="AB36" s="18">
        <f t="shared" si="0"/>
        <v>11.47</v>
      </c>
      <c r="AC36" s="3" t="s">
        <v>441</v>
      </c>
    </row>
    <row r="37" spans="1:29" ht="64.05" customHeight="1">
      <c r="A37" s="6" t="s">
        <v>442</v>
      </c>
      <c r="B37" s="7" t="s">
        <v>431</v>
      </c>
      <c r="C37" s="7" t="s">
        <v>139</v>
      </c>
      <c r="D37" s="7"/>
      <c r="E37" s="7" t="s">
        <v>443</v>
      </c>
      <c r="F37" s="7" t="s">
        <v>444</v>
      </c>
      <c r="G37" s="7" t="s">
        <v>445</v>
      </c>
      <c r="H37" s="7" t="s">
        <v>446</v>
      </c>
      <c r="I37" s="7" t="s">
        <v>141</v>
      </c>
      <c r="J37" s="8" t="s">
        <v>38</v>
      </c>
      <c r="K37" s="11" t="s">
        <v>447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4">
        <v>20</v>
      </c>
      <c r="Z37" s="25"/>
      <c r="AA37" s="25"/>
      <c r="AB37" s="26"/>
      <c r="AC37" s="27" t="s">
        <v>1007</v>
      </c>
    </row>
    <row r="38" spans="1:29" ht="64.05" customHeight="1">
      <c r="A38" s="6" t="s">
        <v>448</v>
      </c>
      <c r="B38" s="7" t="s">
        <v>449</v>
      </c>
      <c r="C38" s="7" t="s">
        <v>450</v>
      </c>
      <c r="D38" s="7"/>
      <c r="E38" s="7" t="s">
        <v>451</v>
      </c>
      <c r="F38" s="7" t="s">
        <v>452</v>
      </c>
      <c r="G38" s="7" t="s">
        <v>448</v>
      </c>
      <c r="H38" s="7" t="s">
        <v>453</v>
      </c>
      <c r="I38" s="7" t="s">
        <v>35</v>
      </c>
      <c r="J38" s="8" t="s">
        <v>38</v>
      </c>
      <c r="K38" s="9" t="s">
        <v>39</v>
      </c>
      <c r="L38" s="6" t="s">
        <v>454</v>
      </c>
      <c r="M38" s="7" t="s">
        <v>448</v>
      </c>
      <c r="N38" s="7" t="s">
        <v>449</v>
      </c>
      <c r="O38" s="7" t="s">
        <v>455</v>
      </c>
      <c r="P38" s="7" t="s">
        <v>456</v>
      </c>
      <c r="Q38" s="7" t="s">
        <v>319</v>
      </c>
      <c r="R38" s="8" t="s">
        <v>451</v>
      </c>
      <c r="S38" s="10" t="s">
        <v>457</v>
      </c>
      <c r="T38" s="6" t="s">
        <v>62</v>
      </c>
      <c r="U38" s="7" t="s">
        <v>63</v>
      </c>
      <c r="V38" s="7" t="s">
        <v>35</v>
      </c>
      <c r="W38" s="7" t="s">
        <v>458</v>
      </c>
      <c r="X38" s="7" t="s">
        <v>459</v>
      </c>
      <c r="Y38" s="16">
        <v>2</v>
      </c>
      <c r="Z38" s="7" t="s">
        <v>460</v>
      </c>
      <c r="AA38" s="8" t="s">
        <v>48</v>
      </c>
      <c r="AB38" s="18">
        <f t="shared" ref="AB38:AB69" si="1">ROUND(Y38*Z38,2)</f>
        <v>24.32</v>
      </c>
      <c r="AC38" s="3" t="s">
        <v>257</v>
      </c>
    </row>
    <row r="39" spans="1:29" ht="24" customHeight="1">
      <c r="A39" s="6" t="s">
        <v>461</v>
      </c>
      <c r="B39" s="7" t="s">
        <v>292</v>
      </c>
      <c r="C39" s="7" t="s">
        <v>139</v>
      </c>
      <c r="D39" s="7"/>
      <c r="E39" s="7" t="s">
        <v>462</v>
      </c>
      <c r="F39" s="7" t="s">
        <v>463</v>
      </c>
      <c r="G39" s="7" t="s">
        <v>142</v>
      </c>
      <c r="H39" s="7" t="s">
        <v>464</v>
      </c>
      <c r="I39" s="7" t="s">
        <v>37</v>
      </c>
      <c r="J39" s="8" t="s">
        <v>38</v>
      </c>
      <c r="K39" s="9" t="s">
        <v>39</v>
      </c>
      <c r="L39" s="6" t="s">
        <v>465</v>
      </c>
      <c r="M39" s="7" t="s">
        <v>461</v>
      </c>
      <c r="N39" s="7" t="s">
        <v>292</v>
      </c>
      <c r="O39" s="7" t="s">
        <v>146</v>
      </c>
      <c r="P39" s="7" t="s">
        <v>466</v>
      </c>
      <c r="Q39" s="7" t="s">
        <v>60</v>
      </c>
      <c r="R39" s="8" t="s">
        <v>462</v>
      </c>
      <c r="S39" s="10" t="s">
        <v>467</v>
      </c>
      <c r="T39" s="6" t="s">
        <v>62</v>
      </c>
      <c r="U39" s="7" t="s">
        <v>63</v>
      </c>
      <c r="V39" s="7" t="s">
        <v>149</v>
      </c>
      <c r="W39" s="7" t="s">
        <v>96</v>
      </c>
      <c r="X39" s="7" t="s">
        <v>468</v>
      </c>
      <c r="Y39" s="15" t="s">
        <v>149</v>
      </c>
      <c r="Z39" s="7" t="s">
        <v>469</v>
      </c>
      <c r="AA39" s="8" t="s">
        <v>48</v>
      </c>
      <c r="AB39" s="18">
        <f t="shared" si="1"/>
        <v>4.0599999999999996</v>
      </c>
      <c r="AC39" s="3"/>
    </row>
    <row r="40" spans="1:29" ht="64.05" customHeight="1">
      <c r="A40" s="6" t="s">
        <v>470</v>
      </c>
      <c r="B40" s="7" t="s">
        <v>449</v>
      </c>
      <c r="C40" s="7" t="s">
        <v>471</v>
      </c>
      <c r="D40" s="7"/>
      <c r="E40" s="7" t="s">
        <v>472</v>
      </c>
      <c r="F40" s="7" t="s">
        <v>473</v>
      </c>
      <c r="G40" s="7" t="s">
        <v>470</v>
      </c>
      <c r="H40" s="7" t="s">
        <v>474</v>
      </c>
      <c r="I40" s="7" t="s">
        <v>35</v>
      </c>
      <c r="J40" s="8" t="s">
        <v>38</v>
      </c>
      <c r="K40" s="9" t="s">
        <v>39</v>
      </c>
      <c r="L40" s="6" t="s">
        <v>475</v>
      </c>
      <c r="M40" s="7" t="s">
        <v>470</v>
      </c>
      <c r="N40" s="7" t="s">
        <v>449</v>
      </c>
      <c r="O40" s="7" t="s">
        <v>476</v>
      </c>
      <c r="P40" s="7" t="s">
        <v>477</v>
      </c>
      <c r="Q40" s="7" t="s">
        <v>319</v>
      </c>
      <c r="R40" s="8" t="s">
        <v>472</v>
      </c>
      <c r="S40" s="10" t="s">
        <v>478</v>
      </c>
      <c r="T40" s="6" t="s">
        <v>62</v>
      </c>
      <c r="U40" s="7" t="s">
        <v>63</v>
      </c>
      <c r="V40" s="7" t="s">
        <v>35</v>
      </c>
      <c r="W40" s="7" t="s">
        <v>80</v>
      </c>
      <c r="X40" s="7" t="s">
        <v>479</v>
      </c>
      <c r="Y40" s="16">
        <v>2</v>
      </c>
      <c r="Z40" s="7" t="s">
        <v>480</v>
      </c>
      <c r="AA40" s="8" t="s">
        <v>48</v>
      </c>
      <c r="AB40" s="18">
        <f t="shared" si="1"/>
        <v>8.76</v>
      </c>
      <c r="AC40" s="3" t="s">
        <v>257</v>
      </c>
    </row>
    <row r="41" spans="1:29" ht="24" customHeight="1">
      <c r="A41" s="6" t="s">
        <v>481</v>
      </c>
      <c r="B41" s="7" t="s">
        <v>482</v>
      </c>
      <c r="C41" s="7" t="s">
        <v>483</v>
      </c>
      <c r="D41" s="7"/>
      <c r="E41" s="7" t="s">
        <v>484</v>
      </c>
      <c r="F41" s="7" t="s">
        <v>485</v>
      </c>
      <c r="G41" s="7" t="s">
        <v>481</v>
      </c>
      <c r="H41" s="7" t="s">
        <v>486</v>
      </c>
      <c r="I41" s="7" t="s">
        <v>37</v>
      </c>
      <c r="J41" s="8" t="s">
        <v>38</v>
      </c>
      <c r="K41" s="9" t="s">
        <v>39</v>
      </c>
      <c r="L41" s="6" t="s">
        <v>487</v>
      </c>
      <c r="M41" s="7" t="s">
        <v>481</v>
      </c>
      <c r="N41" s="7" t="s">
        <v>482</v>
      </c>
      <c r="O41" s="7" t="s">
        <v>488</v>
      </c>
      <c r="P41" s="7" t="s">
        <v>489</v>
      </c>
      <c r="Q41" s="7" t="s">
        <v>490</v>
      </c>
      <c r="R41" s="8" t="s">
        <v>484</v>
      </c>
      <c r="S41" s="10" t="s">
        <v>491</v>
      </c>
      <c r="T41" s="6" t="s">
        <v>62</v>
      </c>
      <c r="U41" s="7" t="s">
        <v>63</v>
      </c>
      <c r="V41" s="7" t="s">
        <v>191</v>
      </c>
      <c r="W41" s="7" t="s">
        <v>65</v>
      </c>
      <c r="X41" s="7" t="s">
        <v>492</v>
      </c>
      <c r="Y41" s="15" t="s">
        <v>191</v>
      </c>
      <c r="Z41" s="7" t="s">
        <v>493</v>
      </c>
      <c r="AA41" s="8" t="s">
        <v>48</v>
      </c>
      <c r="AB41" s="18">
        <f t="shared" si="1"/>
        <v>4.74</v>
      </c>
      <c r="AC41" s="3"/>
    </row>
    <row r="42" spans="1:29" ht="24" customHeight="1">
      <c r="A42" s="6" t="s">
        <v>494</v>
      </c>
      <c r="B42" s="7" t="s">
        <v>234</v>
      </c>
      <c r="C42" s="7" t="s">
        <v>495</v>
      </c>
      <c r="D42" s="7"/>
      <c r="E42" s="7" t="s">
        <v>496</v>
      </c>
      <c r="F42" s="7" t="s">
        <v>497</v>
      </c>
      <c r="G42" s="7" t="s">
        <v>494</v>
      </c>
      <c r="H42" s="7" t="s">
        <v>498</v>
      </c>
      <c r="I42" s="7" t="s">
        <v>35</v>
      </c>
      <c r="J42" s="8" t="s">
        <v>38</v>
      </c>
      <c r="K42" s="9" t="s">
        <v>39</v>
      </c>
      <c r="L42" s="6" t="s">
        <v>239</v>
      </c>
      <c r="M42" s="7" t="s">
        <v>494</v>
      </c>
      <c r="N42" s="7" t="s">
        <v>234</v>
      </c>
      <c r="O42" s="7" t="s">
        <v>146</v>
      </c>
      <c r="P42" s="7" t="s">
        <v>499</v>
      </c>
      <c r="Q42" s="7" t="s">
        <v>241</v>
      </c>
      <c r="R42" s="8" t="s">
        <v>496</v>
      </c>
      <c r="S42" s="10" t="s">
        <v>500</v>
      </c>
      <c r="T42" s="6" t="s">
        <v>62</v>
      </c>
      <c r="U42" s="7" t="s">
        <v>63</v>
      </c>
      <c r="V42" s="7" t="s">
        <v>149</v>
      </c>
      <c r="W42" s="7" t="s">
        <v>96</v>
      </c>
      <c r="X42" s="7" t="s">
        <v>501</v>
      </c>
      <c r="Y42" s="15" t="s">
        <v>149</v>
      </c>
      <c r="Z42" s="7" t="s">
        <v>502</v>
      </c>
      <c r="AA42" s="8" t="s">
        <v>48</v>
      </c>
      <c r="AB42" s="18">
        <f t="shared" si="1"/>
        <v>4.88</v>
      </c>
      <c r="AC42" s="3"/>
    </row>
    <row r="43" spans="1:29" ht="24" customHeight="1">
      <c r="A43" s="6" t="s">
        <v>503</v>
      </c>
      <c r="B43" s="7" t="s">
        <v>504</v>
      </c>
      <c r="C43" s="7" t="s">
        <v>505</v>
      </c>
      <c r="D43" s="7"/>
      <c r="E43" s="7" t="s">
        <v>506</v>
      </c>
      <c r="F43" s="7" t="s">
        <v>507</v>
      </c>
      <c r="G43" s="7" t="s">
        <v>503</v>
      </c>
      <c r="H43" s="7" t="s">
        <v>508</v>
      </c>
      <c r="I43" s="7" t="s">
        <v>35</v>
      </c>
      <c r="J43" s="8" t="s">
        <v>38</v>
      </c>
      <c r="K43" s="9" t="s">
        <v>39</v>
      </c>
      <c r="L43" s="6" t="s">
        <v>509</v>
      </c>
      <c r="M43" s="7" t="s">
        <v>503</v>
      </c>
      <c r="N43" s="7" t="s">
        <v>504</v>
      </c>
      <c r="O43" s="7" t="s">
        <v>510</v>
      </c>
      <c r="P43" s="7" t="s">
        <v>511</v>
      </c>
      <c r="Q43" s="7" t="s">
        <v>512</v>
      </c>
      <c r="R43" s="8" t="s">
        <v>506</v>
      </c>
      <c r="S43" s="10" t="s">
        <v>513</v>
      </c>
      <c r="T43" s="6" t="s">
        <v>62</v>
      </c>
      <c r="U43" s="7" t="s">
        <v>63</v>
      </c>
      <c r="V43" s="7" t="s">
        <v>64</v>
      </c>
      <c r="W43" s="7" t="s">
        <v>65</v>
      </c>
      <c r="X43" s="7" t="s">
        <v>514</v>
      </c>
      <c r="Y43" s="15" t="s">
        <v>64</v>
      </c>
      <c r="Z43" s="7" t="s">
        <v>515</v>
      </c>
      <c r="AA43" s="8" t="s">
        <v>48</v>
      </c>
      <c r="AB43" s="18">
        <f t="shared" si="1"/>
        <v>5.13</v>
      </c>
      <c r="AC43" s="3"/>
    </row>
    <row r="44" spans="1:29" ht="24" customHeight="1">
      <c r="A44" s="6" t="s">
        <v>516</v>
      </c>
      <c r="B44" s="7" t="s">
        <v>209</v>
      </c>
      <c r="C44" s="7" t="s">
        <v>210</v>
      </c>
      <c r="D44" s="7"/>
      <c r="E44" s="7" t="s">
        <v>517</v>
      </c>
      <c r="F44" s="7" t="s">
        <v>518</v>
      </c>
      <c r="G44" s="7" t="s">
        <v>519</v>
      </c>
      <c r="H44" s="7" t="s">
        <v>520</v>
      </c>
      <c r="I44" s="7" t="s">
        <v>154</v>
      </c>
      <c r="J44" s="8" t="s">
        <v>38</v>
      </c>
      <c r="K44" s="9" t="s">
        <v>39</v>
      </c>
      <c r="L44" s="6" t="s">
        <v>521</v>
      </c>
      <c r="M44" s="7" t="s">
        <v>516</v>
      </c>
      <c r="N44" s="7" t="s">
        <v>209</v>
      </c>
      <c r="O44" s="7" t="s">
        <v>146</v>
      </c>
      <c r="P44" s="7" t="s">
        <v>522</v>
      </c>
      <c r="Q44" s="7" t="s">
        <v>93</v>
      </c>
      <c r="R44" s="8" t="s">
        <v>517</v>
      </c>
      <c r="S44" s="10" t="s">
        <v>523</v>
      </c>
      <c r="T44" s="6" t="s">
        <v>62</v>
      </c>
      <c r="U44" s="7" t="s">
        <v>63</v>
      </c>
      <c r="V44" s="7" t="s">
        <v>123</v>
      </c>
      <c r="W44" s="7" t="s">
        <v>124</v>
      </c>
      <c r="X44" s="7" t="s">
        <v>524</v>
      </c>
      <c r="Y44" s="15" t="s">
        <v>123</v>
      </c>
      <c r="Z44" s="7" t="s">
        <v>525</v>
      </c>
      <c r="AA44" s="8" t="s">
        <v>48</v>
      </c>
      <c r="AB44" s="18">
        <f t="shared" si="1"/>
        <v>1.49</v>
      </c>
      <c r="AC44" s="3"/>
    </row>
    <row r="45" spans="1:29" ht="24" customHeight="1">
      <c r="A45" s="6" t="s">
        <v>526</v>
      </c>
      <c r="B45" s="7" t="s">
        <v>182</v>
      </c>
      <c r="C45" s="7" t="s">
        <v>527</v>
      </c>
      <c r="D45" s="7"/>
      <c r="E45" s="7" t="s">
        <v>528</v>
      </c>
      <c r="F45" s="7" t="s">
        <v>529</v>
      </c>
      <c r="G45" s="7" t="s">
        <v>526</v>
      </c>
      <c r="H45" s="7" t="s">
        <v>530</v>
      </c>
      <c r="I45" s="7" t="s">
        <v>64</v>
      </c>
      <c r="J45" s="8" t="s">
        <v>38</v>
      </c>
      <c r="K45" s="9" t="s">
        <v>39</v>
      </c>
      <c r="L45" s="6" t="s">
        <v>531</v>
      </c>
      <c r="M45" s="7" t="s">
        <v>526</v>
      </c>
      <c r="N45" s="7" t="s">
        <v>182</v>
      </c>
      <c r="O45" s="7" t="s">
        <v>532</v>
      </c>
      <c r="P45" s="7" t="s">
        <v>533</v>
      </c>
      <c r="Q45" s="7" t="s">
        <v>78</v>
      </c>
      <c r="R45" s="8" t="s">
        <v>528</v>
      </c>
      <c r="S45" s="10" t="s">
        <v>534</v>
      </c>
      <c r="T45" s="6" t="s">
        <v>62</v>
      </c>
      <c r="U45" s="7" t="s">
        <v>63</v>
      </c>
      <c r="V45" s="7" t="s">
        <v>191</v>
      </c>
      <c r="W45" s="7" t="s">
        <v>535</v>
      </c>
      <c r="X45" s="7" t="s">
        <v>536</v>
      </c>
      <c r="Y45" s="15" t="s">
        <v>191</v>
      </c>
      <c r="Z45" s="7" t="s">
        <v>537</v>
      </c>
      <c r="AA45" s="8" t="s">
        <v>48</v>
      </c>
      <c r="AB45" s="18">
        <f t="shared" si="1"/>
        <v>5.6</v>
      </c>
      <c r="AC45" s="3"/>
    </row>
    <row r="46" spans="1:29" ht="24" customHeight="1">
      <c r="A46" s="6" t="s">
        <v>538</v>
      </c>
      <c r="B46" s="7" t="s">
        <v>539</v>
      </c>
      <c r="C46" s="7" t="s">
        <v>540</v>
      </c>
      <c r="D46" s="7"/>
      <c r="E46" s="7" t="s">
        <v>541</v>
      </c>
      <c r="F46" s="7" t="s">
        <v>542</v>
      </c>
      <c r="G46" s="7" t="s">
        <v>538</v>
      </c>
      <c r="H46" s="7" t="s">
        <v>543</v>
      </c>
      <c r="I46" s="7" t="s">
        <v>35</v>
      </c>
      <c r="J46" s="8" t="s">
        <v>38</v>
      </c>
      <c r="K46" s="9" t="s">
        <v>39</v>
      </c>
      <c r="L46" s="6" t="s">
        <v>544</v>
      </c>
      <c r="M46" s="7" t="s">
        <v>538</v>
      </c>
      <c r="N46" s="7" t="s">
        <v>539</v>
      </c>
      <c r="O46" s="7" t="s">
        <v>545</v>
      </c>
      <c r="P46" s="7" t="s">
        <v>546</v>
      </c>
      <c r="Q46" s="7" t="s">
        <v>512</v>
      </c>
      <c r="R46" s="8" t="s">
        <v>541</v>
      </c>
      <c r="S46" s="10" t="s">
        <v>547</v>
      </c>
      <c r="T46" s="6" t="s">
        <v>62</v>
      </c>
      <c r="U46" s="7" t="s">
        <v>63</v>
      </c>
      <c r="V46" s="7" t="s">
        <v>376</v>
      </c>
      <c r="W46" s="7" t="s">
        <v>548</v>
      </c>
      <c r="X46" s="7" t="s">
        <v>549</v>
      </c>
      <c r="Y46" s="15" t="s">
        <v>376</v>
      </c>
      <c r="Z46" s="7" t="s">
        <v>550</v>
      </c>
      <c r="AA46" s="8" t="s">
        <v>48</v>
      </c>
      <c r="AB46" s="18">
        <f t="shared" si="1"/>
        <v>8.8800000000000008</v>
      </c>
      <c r="AC46" s="3"/>
    </row>
    <row r="47" spans="1:29" ht="24" customHeight="1">
      <c r="A47" s="6" t="s">
        <v>551</v>
      </c>
      <c r="B47" s="7" t="s">
        <v>138</v>
      </c>
      <c r="C47" s="7" t="s">
        <v>114</v>
      </c>
      <c r="D47" s="7"/>
      <c r="E47" s="7" t="s">
        <v>552</v>
      </c>
      <c r="F47" s="7" t="s">
        <v>553</v>
      </c>
      <c r="G47" s="7" t="s">
        <v>345</v>
      </c>
      <c r="H47" s="7" t="s">
        <v>554</v>
      </c>
      <c r="I47" s="7" t="s">
        <v>35</v>
      </c>
      <c r="J47" s="8" t="s">
        <v>38</v>
      </c>
      <c r="K47" s="9" t="s">
        <v>39</v>
      </c>
      <c r="L47" s="6" t="s">
        <v>555</v>
      </c>
      <c r="M47" s="7" t="s">
        <v>551</v>
      </c>
      <c r="N47" s="7" t="s">
        <v>138</v>
      </c>
      <c r="O47" s="7" t="s">
        <v>120</v>
      </c>
      <c r="P47" s="7" t="s">
        <v>556</v>
      </c>
      <c r="Q47" s="7" t="s">
        <v>93</v>
      </c>
      <c r="R47" s="8" t="s">
        <v>552</v>
      </c>
      <c r="S47" s="10" t="s">
        <v>557</v>
      </c>
      <c r="T47" s="6" t="s">
        <v>62</v>
      </c>
      <c r="U47" s="7" t="s">
        <v>63</v>
      </c>
      <c r="V47" s="7" t="s">
        <v>191</v>
      </c>
      <c r="W47" s="7" t="s">
        <v>124</v>
      </c>
      <c r="X47" s="7" t="s">
        <v>558</v>
      </c>
      <c r="Y47" s="15" t="s">
        <v>191</v>
      </c>
      <c r="Z47" s="7" t="s">
        <v>559</v>
      </c>
      <c r="AA47" s="8" t="s">
        <v>48</v>
      </c>
      <c r="AB47" s="18">
        <f t="shared" si="1"/>
        <v>5.15</v>
      </c>
      <c r="AC47" s="3"/>
    </row>
    <row r="48" spans="1:29" ht="24" customHeight="1">
      <c r="A48" s="6" t="s">
        <v>560</v>
      </c>
      <c r="B48" s="7" t="s">
        <v>113</v>
      </c>
      <c r="C48" s="7" t="s">
        <v>210</v>
      </c>
      <c r="D48" s="7"/>
      <c r="E48" s="7" t="s">
        <v>561</v>
      </c>
      <c r="F48" s="7" t="s">
        <v>562</v>
      </c>
      <c r="G48" s="7" t="s">
        <v>563</v>
      </c>
      <c r="H48" s="7" t="s">
        <v>564</v>
      </c>
      <c r="I48" s="7" t="s">
        <v>35</v>
      </c>
      <c r="J48" s="8" t="s">
        <v>38</v>
      </c>
      <c r="K48" s="9" t="s">
        <v>39</v>
      </c>
      <c r="L48" s="6" t="s">
        <v>565</v>
      </c>
      <c r="M48" s="7" t="s">
        <v>560</v>
      </c>
      <c r="N48" s="7" t="s">
        <v>113</v>
      </c>
      <c r="O48" s="7" t="s">
        <v>146</v>
      </c>
      <c r="P48" s="7" t="s">
        <v>566</v>
      </c>
      <c r="Q48" s="7" t="s">
        <v>93</v>
      </c>
      <c r="R48" s="8" t="s">
        <v>561</v>
      </c>
      <c r="S48" s="10" t="s">
        <v>567</v>
      </c>
      <c r="T48" s="6" t="s">
        <v>62</v>
      </c>
      <c r="U48" s="7" t="s">
        <v>63</v>
      </c>
      <c r="V48" s="7" t="s">
        <v>123</v>
      </c>
      <c r="W48" s="7" t="s">
        <v>124</v>
      </c>
      <c r="X48" s="7" t="s">
        <v>568</v>
      </c>
      <c r="Y48" s="15" t="s">
        <v>123</v>
      </c>
      <c r="Z48" s="7" t="s">
        <v>569</v>
      </c>
      <c r="AA48" s="8" t="s">
        <v>48</v>
      </c>
      <c r="AB48" s="18">
        <f t="shared" si="1"/>
        <v>3.07</v>
      </c>
      <c r="AC48" s="3"/>
    </row>
    <row r="49" spans="1:29" ht="24" customHeight="1">
      <c r="A49" s="6" t="s">
        <v>570</v>
      </c>
      <c r="B49" s="7" t="s">
        <v>571</v>
      </c>
      <c r="C49" s="7" t="s">
        <v>572</v>
      </c>
      <c r="D49" s="7"/>
      <c r="E49" s="7" t="s">
        <v>573</v>
      </c>
      <c r="F49" s="7" t="s">
        <v>574</v>
      </c>
      <c r="G49" s="7" t="s">
        <v>575</v>
      </c>
      <c r="H49" s="7" t="s">
        <v>576</v>
      </c>
      <c r="I49" s="7" t="s">
        <v>35</v>
      </c>
      <c r="J49" s="8" t="s">
        <v>38</v>
      </c>
      <c r="K49" s="9" t="s">
        <v>39</v>
      </c>
      <c r="L49" s="6" t="s">
        <v>577</v>
      </c>
      <c r="M49" s="7" t="s">
        <v>570</v>
      </c>
      <c r="N49" s="7" t="s">
        <v>571</v>
      </c>
      <c r="O49" s="7" t="s">
        <v>578</v>
      </c>
      <c r="P49" s="7" t="s">
        <v>579</v>
      </c>
      <c r="Q49" s="7" t="s">
        <v>580</v>
      </c>
      <c r="R49" s="8" t="s">
        <v>573</v>
      </c>
      <c r="S49" s="10" t="s">
        <v>581</v>
      </c>
      <c r="T49" s="6" t="s">
        <v>62</v>
      </c>
      <c r="U49" s="7" t="s">
        <v>63</v>
      </c>
      <c r="V49" s="7" t="s">
        <v>64</v>
      </c>
      <c r="W49" s="7" t="s">
        <v>80</v>
      </c>
      <c r="X49" s="7" t="s">
        <v>582</v>
      </c>
      <c r="Y49" s="15" t="s">
        <v>64</v>
      </c>
      <c r="Z49" s="7" t="s">
        <v>583</v>
      </c>
      <c r="AA49" s="8" t="s">
        <v>48</v>
      </c>
      <c r="AB49" s="18">
        <f t="shared" si="1"/>
        <v>5.94</v>
      </c>
      <c r="AC49" s="3"/>
    </row>
    <row r="50" spans="1:29" ht="64.05" customHeight="1">
      <c r="A50" s="6" t="s">
        <v>584</v>
      </c>
      <c r="B50" s="7" t="s">
        <v>585</v>
      </c>
      <c r="C50" s="7" t="s">
        <v>586</v>
      </c>
      <c r="D50" s="7"/>
      <c r="E50" s="7" t="s">
        <v>587</v>
      </c>
      <c r="F50" s="7" t="s">
        <v>588</v>
      </c>
      <c r="G50" s="7" t="s">
        <v>584</v>
      </c>
      <c r="H50" s="7" t="s">
        <v>589</v>
      </c>
      <c r="I50" s="7" t="s">
        <v>35</v>
      </c>
      <c r="J50" s="8" t="s">
        <v>38</v>
      </c>
      <c r="K50" s="9" t="s">
        <v>39</v>
      </c>
      <c r="L50" s="6" t="s">
        <v>590</v>
      </c>
      <c r="M50" s="7" t="s">
        <v>584</v>
      </c>
      <c r="N50" s="7" t="s">
        <v>585</v>
      </c>
      <c r="O50" s="7" t="s">
        <v>591</v>
      </c>
      <c r="P50" s="7" t="s">
        <v>592</v>
      </c>
      <c r="Q50" s="7" t="s">
        <v>593</v>
      </c>
      <c r="R50" s="8" t="s">
        <v>587</v>
      </c>
      <c r="S50" s="10" t="s">
        <v>594</v>
      </c>
      <c r="T50" s="6" t="s">
        <v>62</v>
      </c>
      <c r="U50" s="7" t="s">
        <v>63</v>
      </c>
      <c r="V50" s="7" t="s">
        <v>35</v>
      </c>
      <c r="W50" s="7" t="s">
        <v>149</v>
      </c>
      <c r="X50" s="7" t="s">
        <v>595</v>
      </c>
      <c r="Y50" s="16">
        <v>2</v>
      </c>
      <c r="Z50" s="7" t="s">
        <v>596</v>
      </c>
      <c r="AA50" s="8" t="s">
        <v>48</v>
      </c>
      <c r="AB50" s="18">
        <f t="shared" si="1"/>
        <v>170.54</v>
      </c>
      <c r="AC50" s="3" t="s">
        <v>257</v>
      </c>
    </row>
    <row r="51" spans="1:29" ht="24" customHeight="1">
      <c r="A51" s="6" t="s">
        <v>597</v>
      </c>
      <c r="B51" s="7" t="s">
        <v>138</v>
      </c>
      <c r="C51" s="7" t="s">
        <v>210</v>
      </c>
      <c r="D51" s="7"/>
      <c r="E51" s="7" t="s">
        <v>598</v>
      </c>
      <c r="F51" s="7" t="s">
        <v>599</v>
      </c>
      <c r="G51" s="7" t="s">
        <v>345</v>
      </c>
      <c r="H51" s="7" t="s">
        <v>600</v>
      </c>
      <c r="I51" s="7" t="s">
        <v>35</v>
      </c>
      <c r="J51" s="8" t="s">
        <v>38</v>
      </c>
      <c r="K51" s="9" t="s">
        <v>39</v>
      </c>
      <c r="L51" s="6" t="s">
        <v>601</v>
      </c>
      <c r="M51" s="7" t="s">
        <v>597</v>
      </c>
      <c r="N51" s="7" t="s">
        <v>138</v>
      </c>
      <c r="O51" s="7" t="s">
        <v>146</v>
      </c>
      <c r="P51" s="7" t="s">
        <v>602</v>
      </c>
      <c r="Q51" s="7" t="s">
        <v>93</v>
      </c>
      <c r="R51" s="8" t="s">
        <v>598</v>
      </c>
      <c r="S51" s="10" t="s">
        <v>603</v>
      </c>
      <c r="T51" s="6" t="s">
        <v>62</v>
      </c>
      <c r="U51" s="7" t="s">
        <v>63</v>
      </c>
      <c r="V51" s="7" t="s">
        <v>191</v>
      </c>
      <c r="W51" s="7" t="s">
        <v>124</v>
      </c>
      <c r="X51" s="7" t="s">
        <v>604</v>
      </c>
      <c r="Y51" s="15" t="s">
        <v>191</v>
      </c>
      <c r="Z51" s="7" t="s">
        <v>605</v>
      </c>
      <c r="AA51" s="8" t="s">
        <v>48</v>
      </c>
      <c r="AB51" s="18">
        <f t="shared" si="1"/>
        <v>3.78</v>
      </c>
      <c r="AC51" s="3"/>
    </row>
    <row r="52" spans="1:29" ht="24" customHeight="1">
      <c r="A52" s="6" t="s">
        <v>606</v>
      </c>
      <c r="B52" s="7" t="s">
        <v>209</v>
      </c>
      <c r="C52" s="7" t="s">
        <v>210</v>
      </c>
      <c r="D52" s="7"/>
      <c r="E52" s="7" t="s">
        <v>607</v>
      </c>
      <c r="F52" s="7" t="s">
        <v>149</v>
      </c>
      <c r="G52" s="7" t="s">
        <v>608</v>
      </c>
      <c r="H52" s="7" t="s">
        <v>609</v>
      </c>
      <c r="I52" s="7" t="s">
        <v>35</v>
      </c>
      <c r="J52" s="8" t="s">
        <v>38</v>
      </c>
      <c r="K52" s="9" t="s">
        <v>39</v>
      </c>
      <c r="L52" s="6" t="s">
        <v>610</v>
      </c>
      <c r="M52" s="7" t="s">
        <v>606</v>
      </c>
      <c r="N52" s="7" t="s">
        <v>209</v>
      </c>
      <c r="O52" s="7" t="s">
        <v>146</v>
      </c>
      <c r="P52" s="7" t="s">
        <v>611</v>
      </c>
      <c r="Q52" s="7" t="s">
        <v>93</v>
      </c>
      <c r="R52" s="8" t="s">
        <v>607</v>
      </c>
      <c r="S52" s="10" t="s">
        <v>612</v>
      </c>
      <c r="T52" s="6" t="s">
        <v>62</v>
      </c>
      <c r="U52" s="7" t="s">
        <v>63</v>
      </c>
      <c r="V52" s="7" t="s">
        <v>123</v>
      </c>
      <c r="W52" s="7" t="s">
        <v>124</v>
      </c>
      <c r="X52" s="7" t="s">
        <v>613</v>
      </c>
      <c r="Y52" s="15" t="s">
        <v>123</v>
      </c>
      <c r="Z52" s="7" t="s">
        <v>614</v>
      </c>
      <c r="AA52" s="8" t="s">
        <v>48</v>
      </c>
      <c r="AB52" s="18">
        <f t="shared" si="1"/>
        <v>1.33</v>
      </c>
      <c r="AC52" s="3"/>
    </row>
    <row r="53" spans="1:29" ht="24" customHeight="1">
      <c r="A53" s="6" t="s">
        <v>615</v>
      </c>
      <c r="B53" s="7" t="s">
        <v>113</v>
      </c>
      <c r="C53" s="7" t="s">
        <v>210</v>
      </c>
      <c r="D53" s="7"/>
      <c r="E53" s="7" t="s">
        <v>616</v>
      </c>
      <c r="F53" s="7" t="s">
        <v>617</v>
      </c>
      <c r="G53" s="7" t="s">
        <v>213</v>
      </c>
      <c r="H53" s="7" t="s">
        <v>618</v>
      </c>
      <c r="I53" s="7" t="s">
        <v>35</v>
      </c>
      <c r="J53" s="8" t="s">
        <v>38</v>
      </c>
      <c r="K53" s="9" t="s">
        <v>39</v>
      </c>
      <c r="L53" s="6" t="s">
        <v>215</v>
      </c>
      <c r="M53" s="7" t="s">
        <v>615</v>
      </c>
      <c r="N53" s="7" t="s">
        <v>113</v>
      </c>
      <c r="O53" s="7" t="s">
        <v>146</v>
      </c>
      <c r="P53" s="7" t="s">
        <v>216</v>
      </c>
      <c r="Q53" s="7" t="s">
        <v>93</v>
      </c>
      <c r="R53" s="8" t="s">
        <v>616</v>
      </c>
      <c r="S53" s="10" t="s">
        <v>619</v>
      </c>
      <c r="T53" s="6" t="s">
        <v>62</v>
      </c>
      <c r="U53" s="7" t="s">
        <v>63</v>
      </c>
      <c r="V53" s="7" t="s">
        <v>123</v>
      </c>
      <c r="W53" s="7" t="s">
        <v>124</v>
      </c>
      <c r="X53" s="7" t="s">
        <v>620</v>
      </c>
      <c r="Y53" s="15" t="s">
        <v>123</v>
      </c>
      <c r="Z53" s="7" t="s">
        <v>621</v>
      </c>
      <c r="AA53" s="8" t="s">
        <v>48</v>
      </c>
      <c r="AB53" s="18">
        <f t="shared" si="1"/>
        <v>2.72</v>
      </c>
      <c r="AC53" s="3"/>
    </row>
    <row r="54" spans="1:29" ht="24" customHeight="1">
      <c r="A54" s="6" t="s">
        <v>622</v>
      </c>
      <c r="B54" s="7" t="s">
        <v>209</v>
      </c>
      <c r="C54" s="7" t="s">
        <v>139</v>
      </c>
      <c r="D54" s="7"/>
      <c r="E54" s="7" t="s">
        <v>623</v>
      </c>
      <c r="F54" s="7" t="s">
        <v>624</v>
      </c>
      <c r="G54" s="7" t="s">
        <v>625</v>
      </c>
      <c r="H54" s="7" t="s">
        <v>626</v>
      </c>
      <c r="I54" s="7" t="s">
        <v>35</v>
      </c>
      <c r="J54" s="8" t="s">
        <v>38</v>
      </c>
      <c r="K54" s="9" t="s">
        <v>39</v>
      </c>
      <c r="L54" s="6" t="s">
        <v>627</v>
      </c>
      <c r="M54" s="7" t="s">
        <v>622</v>
      </c>
      <c r="N54" s="7" t="s">
        <v>209</v>
      </c>
      <c r="O54" s="7" t="s">
        <v>146</v>
      </c>
      <c r="P54" s="7" t="s">
        <v>628</v>
      </c>
      <c r="Q54" s="7" t="s">
        <v>60</v>
      </c>
      <c r="R54" s="8" t="s">
        <v>623</v>
      </c>
      <c r="S54" s="10" t="s">
        <v>629</v>
      </c>
      <c r="T54" s="6" t="s">
        <v>62</v>
      </c>
      <c r="U54" s="7" t="s">
        <v>63</v>
      </c>
      <c r="V54" s="7" t="s">
        <v>149</v>
      </c>
      <c r="W54" s="7" t="s">
        <v>96</v>
      </c>
      <c r="X54" s="7" t="s">
        <v>630</v>
      </c>
      <c r="Y54" s="15" t="s">
        <v>149</v>
      </c>
      <c r="Z54" s="7" t="s">
        <v>631</v>
      </c>
      <c r="AA54" s="8" t="s">
        <v>48</v>
      </c>
      <c r="AB54" s="18">
        <f t="shared" si="1"/>
        <v>4.5199999999999996</v>
      </c>
      <c r="AC54" s="3"/>
    </row>
    <row r="55" spans="1:29" ht="24" customHeight="1">
      <c r="A55" s="6" t="s">
        <v>632</v>
      </c>
      <c r="B55" s="7" t="s">
        <v>209</v>
      </c>
      <c r="C55" s="7" t="s">
        <v>210</v>
      </c>
      <c r="D55" s="7"/>
      <c r="E55" s="7" t="s">
        <v>633</v>
      </c>
      <c r="F55" s="7" t="s">
        <v>634</v>
      </c>
      <c r="G55" s="7" t="s">
        <v>635</v>
      </c>
      <c r="H55" s="7" t="s">
        <v>636</v>
      </c>
      <c r="I55" s="7" t="s">
        <v>35</v>
      </c>
      <c r="J55" s="8" t="s">
        <v>38</v>
      </c>
      <c r="K55" s="9" t="s">
        <v>39</v>
      </c>
      <c r="L55" s="6" t="s">
        <v>637</v>
      </c>
      <c r="M55" s="7" t="s">
        <v>632</v>
      </c>
      <c r="N55" s="7" t="s">
        <v>209</v>
      </c>
      <c r="O55" s="7" t="s">
        <v>146</v>
      </c>
      <c r="P55" s="7" t="s">
        <v>638</v>
      </c>
      <c r="Q55" s="7" t="s">
        <v>93</v>
      </c>
      <c r="R55" s="8" t="s">
        <v>633</v>
      </c>
      <c r="S55" s="10" t="s">
        <v>639</v>
      </c>
      <c r="T55" s="6" t="s">
        <v>62</v>
      </c>
      <c r="U55" s="7" t="s">
        <v>63</v>
      </c>
      <c r="V55" s="7" t="s">
        <v>123</v>
      </c>
      <c r="W55" s="7" t="s">
        <v>124</v>
      </c>
      <c r="X55" s="7" t="s">
        <v>640</v>
      </c>
      <c r="Y55" s="15" t="s">
        <v>123</v>
      </c>
      <c r="Z55" s="7" t="s">
        <v>641</v>
      </c>
      <c r="AA55" s="8" t="s">
        <v>48</v>
      </c>
      <c r="AB55" s="18">
        <f t="shared" si="1"/>
        <v>1.26</v>
      </c>
      <c r="AC55" s="3"/>
    </row>
    <row r="56" spans="1:29" ht="24" customHeight="1">
      <c r="A56" s="6" t="s">
        <v>642</v>
      </c>
      <c r="B56" s="7" t="s">
        <v>209</v>
      </c>
      <c r="C56" s="7" t="s">
        <v>210</v>
      </c>
      <c r="D56" s="7"/>
      <c r="E56" s="7" t="s">
        <v>643</v>
      </c>
      <c r="F56" s="7" t="s">
        <v>644</v>
      </c>
      <c r="G56" s="7" t="s">
        <v>645</v>
      </c>
      <c r="H56" s="7" t="s">
        <v>646</v>
      </c>
      <c r="I56" s="7" t="s">
        <v>37</v>
      </c>
      <c r="J56" s="8" t="s">
        <v>38</v>
      </c>
      <c r="K56" s="9" t="s">
        <v>39</v>
      </c>
      <c r="L56" s="6" t="s">
        <v>647</v>
      </c>
      <c r="M56" s="7" t="s">
        <v>642</v>
      </c>
      <c r="N56" s="7" t="s">
        <v>209</v>
      </c>
      <c r="O56" s="7" t="s">
        <v>146</v>
      </c>
      <c r="P56" s="7" t="s">
        <v>648</v>
      </c>
      <c r="Q56" s="7" t="s">
        <v>93</v>
      </c>
      <c r="R56" s="8" t="s">
        <v>643</v>
      </c>
      <c r="S56" s="10" t="s">
        <v>649</v>
      </c>
      <c r="T56" s="6" t="s">
        <v>62</v>
      </c>
      <c r="U56" s="7" t="s">
        <v>63</v>
      </c>
      <c r="V56" s="7" t="s">
        <v>123</v>
      </c>
      <c r="W56" s="7" t="s">
        <v>124</v>
      </c>
      <c r="X56" s="7" t="s">
        <v>650</v>
      </c>
      <c r="Y56" s="15" t="s">
        <v>123</v>
      </c>
      <c r="Z56" s="7" t="s">
        <v>651</v>
      </c>
      <c r="AA56" s="8" t="s">
        <v>48</v>
      </c>
      <c r="AB56" s="18">
        <f t="shared" si="1"/>
        <v>1.43</v>
      </c>
      <c r="AC56" s="3"/>
    </row>
    <row r="57" spans="1:29" ht="24" customHeight="1">
      <c r="A57" s="6" t="s">
        <v>652</v>
      </c>
      <c r="B57" s="7" t="s">
        <v>138</v>
      </c>
      <c r="C57" s="7" t="s">
        <v>139</v>
      </c>
      <c r="D57" s="7"/>
      <c r="E57" s="7" t="s">
        <v>653</v>
      </c>
      <c r="F57" s="7" t="s">
        <v>654</v>
      </c>
      <c r="G57" s="7" t="s">
        <v>655</v>
      </c>
      <c r="H57" s="7" t="s">
        <v>656</v>
      </c>
      <c r="I57" s="7" t="s">
        <v>35</v>
      </c>
      <c r="J57" s="8" t="s">
        <v>38</v>
      </c>
      <c r="K57" s="9" t="s">
        <v>39</v>
      </c>
      <c r="L57" s="6" t="s">
        <v>657</v>
      </c>
      <c r="M57" s="7" t="s">
        <v>652</v>
      </c>
      <c r="N57" s="7" t="s">
        <v>138</v>
      </c>
      <c r="O57" s="7" t="s">
        <v>146</v>
      </c>
      <c r="P57" s="7" t="s">
        <v>658</v>
      </c>
      <c r="Q57" s="7" t="s">
        <v>60</v>
      </c>
      <c r="R57" s="8" t="s">
        <v>653</v>
      </c>
      <c r="S57" s="10" t="s">
        <v>659</v>
      </c>
      <c r="T57" s="6" t="s">
        <v>62</v>
      </c>
      <c r="U57" s="7" t="s">
        <v>63</v>
      </c>
      <c r="V57" s="7" t="s">
        <v>123</v>
      </c>
      <c r="W57" s="7" t="s">
        <v>96</v>
      </c>
      <c r="X57" s="7" t="s">
        <v>660</v>
      </c>
      <c r="Y57" s="15" t="s">
        <v>123</v>
      </c>
      <c r="Z57" s="7" t="s">
        <v>661</v>
      </c>
      <c r="AA57" s="8" t="s">
        <v>48</v>
      </c>
      <c r="AB57" s="18">
        <f t="shared" si="1"/>
        <v>3.71</v>
      </c>
      <c r="AC57" s="3"/>
    </row>
    <row r="58" spans="1:29" ht="24" customHeight="1">
      <c r="A58" s="6" t="s">
        <v>662</v>
      </c>
      <c r="B58" s="7" t="s">
        <v>113</v>
      </c>
      <c r="C58" s="7" t="s">
        <v>210</v>
      </c>
      <c r="D58" s="7"/>
      <c r="E58" s="7" t="s">
        <v>663</v>
      </c>
      <c r="F58" s="7" t="s">
        <v>664</v>
      </c>
      <c r="G58" s="7" t="s">
        <v>665</v>
      </c>
      <c r="H58" s="7" t="s">
        <v>666</v>
      </c>
      <c r="I58" s="7" t="s">
        <v>35</v>
      </c>
      <c r="J58" s="8" t="s">
        <v>38</v>
      </c>
      <c r="K58" s="9" t="s">
        <v>39</v>
      </c>
      <c r="L58" s="6" t="s">
        <v>667</v>
      </c>
      <c r="M58" s="7" t="s">
        <v>662</v>
      </c>
      <c r="N58" s="7" t="s">
        <v>113</v>
      </c>
      <c r="O58" s="7" t="s">
        <v>146</v>
      </c>
      <c r="P58" s="7" t="s">
        <v>668</v>
      </c>
      <c r="Q58" s="7" t="s">
        <v>93</v>
      </c>
      <c r="R58" s="8" t="s">
        <v>663</v>
      </c>
      <c r="S58" s="10" t="s">
        <v>669</v>
      </c>
      <c r="T58" s="6" t="s">
        <v>62</v>
      </c>
      <c r="U58" s="7" t="s">
        <v>63</v>
      </c>
      <c r="V58" s="7" t="s">
        <v>123</v>
      </c>
      <c r="W58" s="7" t="s">
        <v>124</v>
      </c>
      <c r="X58" s="7" t="s">
        <v>670</v>
      </c>
      <c r="Y58" s="15" t="s">
        <v>123</v>
      </c>
      <c r="Z58" s="7" t="s">
        <v>671</v>
      </c>
      <c r="AA58" s="8" t="s">
        <v>48</v>
      </c>
      <c r="AB58" s="18">
        <f t="shared" si="1"/>
        <v>1.29</v>
      </c>
      <c r="AC58" s="3"/>
    </row>
    <row r="59" spans="1:29" ht="24" customHeight="1">
      <c r="A59" s="6" t="s">
        <v>672</v>
      </c>
      <c r="B59" s="7" t="s">
        <v>70</v>
      </c>
      <c r="C59" s="7" t="s">
        <v>210</v>
      </c>
      <c r="D59" s="7"/>
      <c r="E59" s="7" t="s">
        <v>673</v>
      </c>
      <c r="F59" s="7" t="s">
        <v>674</v>
      </c>
      <c r="G59" s="7" t="s">
        <v>672</v>
      </c>
      <c r="H59" s="7" t="s">
        <v>675</v>
      </c>
      <c r="I59" s="7" t="s">
        <v>35</v>
      </c>
      <c r="J59" s="8" t="s">
        <v>38</v>
      </c>
      <c r="K59" s="9" t="s">
        <v>39</v>
      </c>
      <c r="L59" s="6" t="s">
        <v>676</v>
      </c>
      <c r="M59" s="7" t="s">
        <v>672</v>
      </c>
      <c r="N59" s="7" t="s">
        <v>70</v>
      </c>
      <c r="O59" s="7" t="s">
        <v>146</v>
      </c>
      <c r="P59" s="7" t="s">
        <v>677</v>
      </c>
      <c r="Q59" s="7" t="s">
        <v>678</v>
      </c>
      <c r="R59" s="8" t="s">
        <v>673</v>
      </c>
      <c r="S59" s="10" t="s">
        <v>679</v>
      </c>
      <c r="T59" s="6" t="s">
        <v>62</v>
      </c>
      <c r="U59" s="7" t="s">
        <v>63</v>
      </c>
      <c r="V59" s="7" t="s">
        <v>95</v>
      </c>
      <c r="W59" s="7" t="s">
        <v>96</v>
      </c>
      <c r="X59" s="7" t="s">
        <v>680</v>
      </c>
      <c r="Y59" s="15" t="s">
        <v>95</v>
      </c>
      <c r="Z59" s="7" t="s">
        <v>681</v>
      </c>
      <c r="AA59" s="8" t="s">
        <v>48</v>
      </c>
      <c r="AB59" s="18">
        <f t="shared" si="1"/>
        <v>1.92</v>
      </c>
      <c r="AC59" s="3"/>
    </row>
    <row r="60" spans="1:29" ht="24" customHeight="1">
      <c r="A60" s="6" t="s">
        <v>682</v>
      </c>
      <c r="B60" s="7" t="s">
        <v>209</v>
      </c>
      <c r="C60" s="7" t="s">
        <v>210</v>
      </c>
      <c r="D60" s="7"/>
      <c r="E60" s="7" t="s">
        <v>683</v>
      </c>
      <c r="F60" s="7" t="s">
        <v>548</v>
      </c>
      <c r="G60" s="7" t="s">
        <v>684</v>
      </c>
      <c r="H60" s="7" t="s">
        <v>685</v>
      </c>
      <c r="I60" s="7" t="s">
        <v>35</v>
      </c>
      <c r="J60" s="8" t="s">
        <v>38</v>
      </c>
      <c r="K60" s="9" t="s">
        <v>39</v>
      </c>
      <c r="L60" s="6" t="s">
        <v>686</v>
      </c>
      <c r="M60" s="7" t="s">
        <v>682</v>
      </c>
      <c r="N60" s="7" t="s">
        <v>209</v>
      </c>
      <c r="O60" s="7" t="s">
        <v>146</v>
      </c>
      <c r="P60" s="7" t="s">
        <v>687</v>
      </c>
      <c r="Q60" s="7" t="s">
        <v>93</v>
      </c>
      <c r="R60" s="8" t="s">
        <v>683</v>
      </c>
      <c r="S60" s="10" t="s">
        <v>688</v>
      </c>
      <c r="T60" s="6" t="s">
        <v>62</v>
      </c>
      <c r="U60" s="7" t="s">
        <v>63</v>
      </c>
      <c r="V60" s="7" t="s">
        <v>123</v>
      </c>
      <c r="W60" s="7" t="s">
        <v>124</v>
      </c>
      <c r="X60" s="7" t="s">
        <v>689</v>
      </c>
      <c r="Y60" s="15" t="s">
        <v>123</v>
      </c>
      <c r="Z60" s="7" t="s">
        <v>690</v>
      </c>
      <c r="AA60" s="8" t="s">
        <v>48</v>
      </c>
      <c r="AB60" s="18">
        <f t="shared" si="1"/>
        <v>5.92</v>
      </c>
      <c r="AC60" s="3"/>
    </row>
    <row r="61" spans="1:29" ht="64.05" customHeight="1">
      <c r="A61" s="6" t="s">
        <v>691</v>
      </c>
      <c r="B61" s="7" t="s">
        <v>692</v>
      </c>
      <c r="C61" s="7" t="s">
        <v>52</v>
      </c>
      <c r="D61" s="7"/>
      <c r="E61" s="7" t="s">
        <v>693</v>
      </c>
      <c r="F61" s="7" t="s">
        <v>694</v>
      </c>
      <c r="G61" s="7" t="s">
        <v>695</v>
      </c>
      <c r="H61" s="7" t="s">
        <v>696</v>
      </c>
      <c r="I61" s="7" t="s">
        <v>73</v>
      </c>
      <c r="J61" s="8" t="s">
        <v>38</v>
      </c>
      <c r="K61" s="9" t="s">
        <v>39</v>
      </c>
      <c r="L61" s="6" t="s">
        <v>697</v>
      </c>
      <c r="M61" s="7" t="s">
        <v>691</v>
      </c>
      <c r="N61" s="7" t="s">
        <v>692</v>
      </c>
      <c r="O61" s="7" t="s">
        <v>58</v>
      </c>
      <c r="P61" s="7" t="s">
        <v>698</v>
      </c>
      <c r="Q61" s="7" t="s">
        <v>60</v>
      </c>
      <c r="R61" s="8" t="s">
        <v>693</v>
      </c>
      <c r="S61" s="10" t="s">
        <v>699</v>
      </c>
      <c r="T61" s="6" t="s">
        <v>62</v>
      </c>
      <c r="U61" s="7" t="s">
        <v>63</v>
      </c>
      <c r="V61" s="7" t="s">
        <v>35</v>
      </c>
      <c r="W61" s="7" t="s">
        <v>65</v>
      </c>
      <c r="X61" s="7" t="s">
        <v>700</v>
      </c>
      <c r="Y61" s="16">
        <v>5</v>
      </c>
      <c r="Z61" s="7" t="s">
        <v>701</v>
      </c>
      <c r="AA61" s="8" t="s">
        <v>48</v>
      </c>
      <c r="AB61" s="18">
        <f t="shared" si="1"/>
        <v>11.5</v>
      </c>
      <c r="AC61" s="3" t="s">
        <v>702</v>
      </c>
    </row>
    <row r="62" spans="1:29" ht="24" customHeight="1">
      <c r="A62" s="6" t="s">
        <v>703</v>
      </c>
      <c r="B62" s="7" t="s">
        <v>704</v>
      </c>
      <c r="C62" s="7" t="s">
        <v>705</v>
      </c>
      <c r="D62" s="7"/>
      <c r="E62" s="7" t="s">
        <v>706</v>
      </c>
      <c r="F62" s="7" t="s">
        <v>707</v>
      </c>
      <c r="G62" s="7" t="s">
        <v>703</v>
      </c>
      <c r="H62" s="7" t="s">
        <v>708</v>
      </c>
      <c r="I62" s="7" t="s">
        <v>35</v>
      </c>
      <c r="J62" s="8" t="s">
        <v>38</v>
      </c>
      <c r="K62" s="9" t="s">
        <v>39</v>
      </c>
      <c r="L62" s="6" t="s">
        <v>709</v>
      </c>
      <c r="M62" s="7" t="s">
        <v>703</v>
      </c>
      <c r="N62" s="7" t="s">
        <v>704</v>
      </c>
      <c r="O62" s="7" t="s">
        <v>167</v>
      </c>
      <c r="P62" s="7" t="s">
        <v>710</v>
      </c>
      <c r="Q62" s="7" t="s">
        <v>169</v>
      </c>
      <c r="R62" s="8" t="s">
        <v>706</v>
      </c>
      <c r="S62" s="10" t="s">
        <v>711</v>
      </c>
      <c r="T62" s="6" t="s">
        <v>62</v>
      </c>
      <c r="U62" s="7" t="s">
        <v>63</v>
      </c>
      <c r="V62" s="7" t="s">
        <v>191</v>
      </c>
      <c r="W62" s="7" t="s">
        <v>80</v>
      </c>
      <c r="X62" s="7" t="s">
        <v>712</v>
      </c>
      <c r="Y62" s="15" t="s">
        <v>191</v>
      </c>
      <c r="Z62" s="7" t="s">
        <v>713</v>
      </c>
      <c r="AA62" s="8" t="s">
        <v>48</v>
      </c>
      <c r="AB62" s="18">
        <f t="shared" si="1"/>
        <v>4.34</v>
      </c>
      <c r="AC62" s="3"/>
    </row>
    <row r="63" spans="1:29" ht="24" customHeight="1">
      <c r="A63" s="6" t="s">
        <v>714</v>
      </c>
      <c r="B63" s="7" t="s">
        <v>292</v>
      </c>
      <c r="C63" s="7" t="s">
        <v>139</v>
      </c>
      <c r="D63" s="7"/>
      <c r="E63" s="7" t="s">
        <v>715</v>
      </c>
      <c r="F63" s="7" t="s">
        <v>716</v>
      </c>
      <c r="G63" s="7" t="s">
        <v>717</v>
      </c>
      <c r="H63" s="7" t="s">
        <v>718</v>
      </c>
      <c r="I63" s="7" t="s">
        <v>35</v>
      </c>
      <c r="J63" s="8" t="s">
        <v>38</v>
      </c>
      <c r="K63" s="9" t="s">
        <v>39</v>
      </c>
      <c r="L63" s="6" t="s">
        <v>719</v>
      </c>
      <c r="M63" s="7" t="s">
        <v>714</v>
      </c>
      <c r="N63" s="7" t="s">
        <v>292</v>
      </c>
      <c r="O63" s="7" t="s">
        <v>146</v>
      </c>
      <c r="P63" s="7" t="s">
        <v>720</v>
      </c>
      <c r="Q63" s="7" t="s">
        <v>60</v>
      </c>
      <c r="R63" s="8" t="s">
        <v>715</v>
      </c>
      <c r="S63" s="10" t="s">
        <v>721</v>
      </c>
      <c r="T63" s="6" t="s">
        <v>62</v>
      </c>
      <c r="U63" s="7" t="s">
        <v>63</v>
      </c>
      <c r="V63" s="7" t="s">
        <v>149</v>
      </c>
      <c r="W63" s="7" t="s">
        <v>96</v>
      </c>
      <c r="X63" s="7" t="s">
        <v>722</v>
      </c>
      <c r="Y63" s="15" t="s">
        <v>149</v>
      </c>
      <c r="Z63" s="7" t="s">
        <v>723</v>
      </c>
      <c r="AA63" s="8" t="s">
        <v>48</v>
      </c>
      <c r="AB63" s="18">
        <f t="shared" si="1"/>
        <v>5.15</v>
      </c>
      <c r="AC63" s="3"/>
    </row>
    <row r="64" spans="1:29" ht="24" customHeight="1">
      <c r="A64" s="6" t="s">
        <v>724</v>
      </c>
      <c r="B64" s="7" t="s">
        <v>51</v>
      </c>
      <c r="C64" s="7" t="s">
        <v>52</v>
      </c>
      <c r="D64" s="7"/>
      <c r="E64" s="7" t="s">
        <v>725</v>
      </c>
      <c r="F64" s="7" t="s">
        <v>726</v>
      </c>
      <c r="G64" s="7" t="s">
        <v>727</v>
      </c>
      <c r="H64" s="7" t="s">
        <v>728</v>
      </c>
      <c r="I64" s="7" t="s">
        <v>35</v>
      </c>
      <c r="J64" s="8" t="s">
        <v>38</v>
      </c>
      <c r="K64" s="9" t="s">
        <v>39</v>
      </c>
      <c r="L64" s="6" t="s">
        <v>729</v>
      </c>
      <c r="M64" s="7" t="s">
        <v>724</v>
      </c>
      <c r="N64" s="7" t="s">
        <v>51</v>
      </c>
      <c r="O64" s="7" t="s">
        <v>58</v>
      </c>
      <c r="P64" s="7" t="s">
        <v>730</v>
      </c>
      <c r="Q64" s="7" t="s">
        <v>60</v>
      </c>
      <c r="R64" s="8" t="s">
        <v>725</v>
      </c>
      <c r="S64" s="10" t="s">
        <v>731</v>
      </c>
      <c r="T64" s="6" t="s">
        <v>62</v>
      </c>
      <c r="U64" s="7" t="s">
        <v>63</v>
      </c>
      <c r="V64" s="7" t="s">
        <v>64</v>
      </c>
      <c r="W64" s="7" t="s">
        <v>65</v>
      </c>
      <c r="X64" s="7" t="s">
        <v>732</v>
      </c>
      <c r="Y64" s="15" t="s">
        <v>64</v>
      </c>
      <c r="Z64" s="7" t="s">
        <v>733</v>
      </c>
      <c r="AA64" s="8" t="s">
        <v>48</v>
      </c>
      <c r="AB64" s="18">
        <f t="shared" si="1"/>
        <v>7.45</v>
      </c>
      <c r="AC64" s="3"/>
    </row>
    <row r="65" spans="1:29" ht="24" customHeight="1">
      <c r="A65" s="6" t="s">
        <v>734</v>
      </c>
      <c r="B65" s="7" t="s">
        <v>70</v>
      </c>
      <c r="C65" s="7" t="s">
        <v>735</v>
      </c>
      <c r="D65" s="7"/>
      <c r="E65" s="7" t="s">
        <v>736</v>
      </c>
      <c r="F65" s="7" t="s">
        <v>737</v>
      </c>
      <c r="G65" s="7" t="s">
        <v>734</v>
      </c>
      <c r="H65" s="7" t="s">
        <v>738</v>
      </c>
      <c r="I65" s="7" t="s">
        <v>35</v>
      </c>
      <c r="J65" s="8" t="s">
        <v>38</v>
      </c>
      <c r="K65" s="9" t="s">
        <v>39</v>
      </c>
      <c r="L65" s="6" t="s">
        <v>739</v>
      </c>
      <c r="M65" s="7" t="s">
        <v>734</v>
      </c>
      <c r="N65" s="7" t="s">
        <v>70</v>
      </c>
      <c r="O65" s="7" t="s">
        <v>740</v>
      </c>
      <c r="P65" s="7" t="s">
        <v>741</v>
      </c>
      <c r="Q65" s="7" t="s">
        <v>169</v>
      </c>
      <c r="R65" s="8" t="s">
        <v>736</v>
      </c>
      <c r="S65" s="10" t="s">
        <v>742</v>
      </c>
      <c r="T65" s="6" t="s">
        <v>62</v>
      </c>
      <c r="U65" s="7" t="s">
        <v>63</v>
      </c>
      <c r="V65" s="7" t="s">
        <v>95</v>
      </c>
      <c r="W65" s="7" t="s">
        <v>124</v>
      </c>
      <c r="X65" s="7" t="s">
        <v>743</v>
      </c>
      <c r="Y65" s="15" t="s">
        <v>95</v>
      </c>
      <c r="Z65" s="7" t="s">
        <v>744</v>
      </c>
      <c r="AA65" s="8" t="s">
        <v>48</v>
      </c>
      <c r="AB65" s="18">
        <f t="shared" si="1"/>
        <v>4.97</v>
      </c>
      <c r="AC65" s="3"/>
    </row>
    <row r="66" spans="1:29" ht="24" customHeight="1">
      <c r="A66" s="6" t="s">
        <v>745</v>
      </c>
      <c r="B66" s="7" t="s">
        <v>70</v>
      </c>
      <c r="C66" s="7" t="s">
        <v>735</v>
      </c>
      <c r="D66" s="7"/>
      <c r="E66" s="7" t="s">
        <v>746</v>
      </c>
      <c r="F66" s="7" t="s">
        <v>747</v>
      </c>
      <c r="G66" s="7" t="s">
        <v>745</v>
      </c>
      <c r="H66" s="7" t="s">
        <v>748</v>
      </c>
      <c r="I66" s="7" t="s">
        <v>35</v>
      </c>
      <c r="J66" s="8" t="s">
        <v>38</v>
      </c>
      <c r="K66" s="9" t="s">
        <v>39</v>
      </c>
      <c r="L66" s="6" t="s">
        <v>749</v>
      </c>
      <c r="M66" s="7" t="s">
        <v>745</v>
      </c>
      <c r="N66" s="7" t="s">
        <v>70</v>
      </c>
      <c r="O66" s="7" t="s">
        <v>740</v>
      </c>
      <c r="P66" s="7" t="s">
        <v>750</v>
      </c>
      <c r="Q66" s="7" t="s">
        <v>169</v>
      </c>
      <c r="R66" s="8" t="s">
        <v>746</v>
      </c>
      <c r="S66" s="10" t="s">
        <v>751</v>
      </c>
      <c r="T66" s="6" t="s">
        <v>62</v>
      </c>
      <c r="U66" s="7" t="s">
        <v>63</v>
      </c>
      <c r="V66" s="7" t="s">
        <v>95</v>
      </c>
      <c r="W66" s="7" t="s">
        <v>124</v>
      </c>
      <c r="X66" s="7" t="s">
        <v>752</v>
      </c>
      <c r="Y66" s="15" t="s">
        <v>95</v>
      </c>
      <c r="Z66" s="7" t="s">
        <v>753</v>
      </c>
      <c r="AA66" s="8" t="s">
        <v>48</v>
      </c>
      <c r="AB66" s="18">
        <f t="shared" si="1"/>
        <v>3.6</v>
      </c>
      <c r="AC66" s="3"/>
    </row>
    <row r="67" spans="1:29" ht="24" customHeight="1">
      <c r="A67" s="6" t="s">
        <v>754</v>
      </c>
      <c r="B67" s="7" t="s">
        <v>292</v>
      </c>
      <c r="C67" s="7" t="s">
        <v>139</v>
      </c>
      <c r="D67" s="7"/>
      <c r="E67" s="7" t="s">
        <v>755</v>
      </c>
      <c r="F67" s="7" t="s">
        <v>756</v>
      </c>
      <c r="G67" s="7" t="s">
        <v>757</v>
      </c>
      <c r="H67" s="7" t="s">
        <v>758</v>
      </c>
      <c r="I67" s="7" t="s">
        <v>35</v>
      </c>
      <c r="J67" s="8" t="s">
        <v>38</v>
      </c>
      <c r="K67" s="9" t="s">
        <v>39</v>
      </c>
      <c r="L67" s="6" t="s">
        <v>759</v>
      </c>
      <c r="M67" s="7" t="s">
        <v>754</v>
      </c>
      <c r="N67" s="7" t="s">
        <v>292</v>
      </c>
      <c r="O67" s="7" t="s">
        <v>146</v>
      </c>
      <c r="P67" s="7" t="s">
        <v>760</v>
      </c>
      <c r="Q67" s="7" t="s">
        <v>60</v>
      </c>
      <c r="R67" s="8" t="s">
        <v>755</v>
      </c>
      <c r="S67" s="10" t="s">
        <v>761</v>
      </c>
      <c r="T67" s="6" t="s">
        <v>62</v>
      </c>
      <c r="U67" s="7" t="s">
        <v>63</v>
      </c>
      <c r="V67" s="7" t="s">
        <v>149</v>
      </c>
      <c r="W67" s="7" t="s">
        <v>96</v>
      </c>
      <c r="X67" s="7" t="s">
        <v>762</v>
      </c>
      <c r="Y67" s="15" t="s">
        <v>149</v>
      </c>
      <c r="Z67" s="7" t="s">
        <v>763</v>
      </c>
      <c r="AA67" s="8" t="s">
        <v>48</v>
      </c>
      <c r="AB67" s="18">
        <f t="shared" si="1"/>
        <v>4.29</v>
      </c>
      <c r="AC67" s="3"/>
    </row>
    <row r="68" spans="1:29" ht="24" customHeight="1">
      <c r="A68" s="6" t="s">
        <v>764</v>
      </c>
      <c r="B68" s="7" t="s">
        <v>138</v>
      </c>
      <c r="C68" s="7" t="s">
        <v>210</v>
      </c>
      <c r="D68" s="7"/>
      <c r="E68" s="7" t="s">
        <v>765</v>
      </c>
      <c r="F68" s="7" t="s">
        <v>766</v>
      </c>
      <c r="G68" s="7" t="s">
        <v>767</v>
      </c>
      <c r="H68" s="7" t="s">
        <v>768</v>
      </c>
      <c r="I68" s="7" t="s">
        <v>35</v>
      </c>
      <c r="J68" s="8" t="s">
        <v>38</v>
      </c>
      <c r="K68" s="9" t="s">
        <v>39</v>
      </c>
      <c r="L68" s="6" t="s">
        <v>769</v>
      </c>
      <c r="M68" s="7" t="s">
        <v>764</v>
      </c>
      <c r="N68" s="7" t="s">
        <v>138</v>
      </c>
      <c r="O68" s="7" t="s">
        <v>146</v>
      </c>
      <c r="P68" s="7" t="s">
        <v>770</v>
      </c>
      <c r="Q68" s="7" t="s">
        <v>93</v>
      </c>
      <c r="R68" s="8" t="s">
        <v>765</v>
      </c>
      <c r="S68" s="10" t="s">
        <v>771</v>
      </c>
      <c r="T68" s="6" t="s">
        <v>62</v>
      </c>
      <c r="U68" s="7" t="s">
        <v>63</v>
      </c>
      <c r="V68" s="7" t="s">
        <v>191</v>
      </c>
      <c r="W68" s="7" t="s">
        <v>124</v>
      </c>
      <c r="X68" s="7" t="s">
        <v>772</v>
      </c>
      <c r="Y68" s="15" t="s">
        <v>191</v>
      </c>
      <c r="Z68" s="7" t="s">
        <v>773</v>
      </c>
      <c r="AA68" s="8" t="s">
        <v>48</v>
      </c>
      <c r="AB68" s="18">
        <f t="shared" si="1"/>
        <v>4.3</v>
      </c>
      <c r="AC68" s="3"/>
    </row>
    <row r="69" spans="1:29" ht="64.05" customHeight="1">
      <c r="A69" s="6" t="s">
        <v>774</v>
      </c>
      <c r="B69" s="7" t="s">
        <v>195</v>
      </c>
      <c r="C69" s="7" t="s">
        <v>85</v>
      </c>
      <c r="D69" s="7"/>
      <c r="E69" s="7" t="s">
        <v>775</v>
      </c>
      <c r="F69" s="7" t="s">
        <v>776</v>
      </c>
      <c r="G69" s="7" t="s">
        <v>777</v>
      </c>
      <c r="H69" s="7" t="s">
        <v>778</v>
      </c>
      <c r="I69" s="7" t="s">
        <v>37</v>
      </c>
      <c r="J69" s="8" t="s">
        <v>38</v>
      </c>
      <c r="K69" s="9" t="s">
        <v>39</v>
      </c>
      <c r="L69" s="6" t="s">
        <v>779</v>
      </c>
      <c r="M69" s="7" t="s">
        <v>774</v>
      </c>
      <c r="N69" s="7" t="s">
        <v>195</v>
      </c>
      <c r="O69" s="7" t="s">
        <v>91</v>
      </c>
      <c r="P69" s="7" t="s">
        <v>780</v>
      </c>
      <c r="Q69" s="7" t="s">
        <v>93</v>
      </c>
      <c r="R69" s="8" t="s">
        <v>775</v>
      </c>
      <c r="S69" s="10" t="s">
        <v>781</v>
      </c>
      <c r="T69" s="6" t="s">
        <v>62</v>
      </c>
      <c r="U69" s="7" t="s">
        <v>63</v>
      </c>
      <c r="V69" s="7" t="s">
        <v>35</v>
      </c>
      <c r="W69" s="7" t="s">
        <v>395</v>
      </c>
      <c r="X69" s="7" t="s">
        <v>412</v>
      </c>
      <c r="Y69" s="16">
        <v>4</v>
      </c>
      <c r="Z69" s="7" t="s">
        <v>782</v>
      </c>
      <c r="AA69" s="8" t="s">
        <v>48</v>
      </c>
      <c r="AB69" s="18">
        <f t="shared" si="1"/>
        <v>12.88</v>
      </c>
      <c r="AC69" s="3" t="s">
        <v>207</v>
      </c>
    </row>
    <row r="70" spans="1:29" ht="24" customHeight="1">
      <c r="A70" s="6" t="s">
        <v>783</v>
      </c>
      <c r="B70" s="7" t="s">
        <v>784</v>
      </c>
      <c r="C70" s="7" t="s">
        <v>785</v>
      </c>
      <c r="D70" s="7"/>
      <c r="E70" s="7" t="s">
        <v>786</v>
      </c>
      <c r="F70" s="7" t="s">
        <v>787</v>
      </c>
      <c r="G70" s="7" t="s">
        <v>788</v>
      </c>
      <c r="H70" s="7" t="s">
        <v>789</v>
      </c>
      <c r="I70" s="7" t="s">
        <v>35</v>
      </c>
      <c r="J70" s="8" t="s">
        <v>38</v>
      </c>
      <c r="K70" s="9" t="s">
        <v>39</v>
      </c>
      <c r="L70" s="6" t="s">
        <v>790</v>
      </c>
      <c r="M70" s="7" t="s">
        <v>783</v>
      </c>
      <c r="N70" s="7" t="s">
        <v>784</v>
      </c>
      <c r="O70" s="7" t="s">
        <v>791</v>
      </c>
      <c r="P70" s="7" t="s">
        <v>792</v>
      </c>
      <c r="Q70" s="7" t="s">
        <v>393</v>
      </c>
      <c r="R70" s="8" t="s">
        <v>786</v>
      </c>
      <c r="S70" s="10" t="s">
        <v>793</v>
      </c>
      <c r="T70" s="6" t="s">
        <v>45</v>
      </c>
      <c r="U70" s="7" t="s">
        <v>46</v>
      </c>
      <c r="V70" s="7" t="s">
        <v>35</v>
      </c>
      <c r="W70" s="7" t="s">
        <v>497</v>
      </c>
      <c r="X70" s="7" t="s">
        <v>48</v>
      </c>
      <c r="Y70" s="15" t="s">
        <v>35</v>
      </c>
      <c r="Z70" s="7" t="s">
        <v>794</v>
      </c>
      <c r="AA70" s="8" t="s">
        <v>48</v>
      </c>
      <c r="AB70" s="18">
        <f t="shared" ref="AB70:AB87" si="2">ROUND(Y70*Z70,2)</f>
        <v>15.05</v>
      </c>
      <c r="AC70" s="3"/>
    </row>
    <row r="71" spans="1:29" ht="24" customHeight="1">
      <c r="A71" s="6" t="s">
        <v>795</v>
      </c>
      <c r="B71" s="7" t="s">
        <v>209</v>
      </c>
      <c r="C71" s="7" t="s">
        <v>210</v>
      </c>
      <c r="D71" s="7"/>
      <c r="E71" s="7" t="s">
        <v>796</v>
      </c>
      <c r="F71" s="7" t="s">
        <v>797</v>
      </c>
      <c r="G71" s="7" t="s">
        <v>798</v>
      </c>
      <c r="H71" s="7" t="s">
        <v>799</v>
      </c>
      <c r="I71" s="7" t="s">
        <v>35</v>
      </c>
      <c r="J71" s="8" t="s">
        <v>38</v>
      </c>
      <c r="K71" s="9" t="s">
        <v>39</v>
      </c>
      <c r="L71" s="6" t="s">
        <v>800</v>
      </c>
      <c r="M71" s="7" t="s">
        <v>795</v>
      </c>
      <c r="N71" s="7" t="s">
        <v>209</v>
      </c>
      <c r="O71" s="7" t="s">
        <v>146</v>
      </c>
      <c r="P71" s="7" t="s">
        <v>801</v>
      </c>
      <c r="Q71" s="7" t="s">
        <v>93</v>
      </c>
      <c r="R71" s="8" t="s">
        <v>796</v>
      </c>
      <c r="S71" s="10" t="s">
        <v>802</v>
      </c>
      <c r="T71" s="6" t="s">
        <v>62</v>
      </c>
      <c r="U71" s="7" t="s">
        <v>63</v>
      </c>
      <c r="V71" s="7" t="s">
        <v>123</v>
      </c>
      <c r="W71" s="7" t="s">
        <v>124</v>
      </c>
      <c r="X71" s="7" t="s">
        <v>803</v>
      </c>
      <c r="Y71" s="15" t="s">
        <v>123</v>
      </c>
      <c r="Z71" s="7" t="s">
        <v>804</v>
      </c>
      <c r="AA71" s="8" t="s">
        <v>48</v>
      </c>
      <c r="AB71" s="18">
        <f t="shared" si="2"/>
        <v>1.66</v>
      </c>
      <c r="AC71" s="3"/>
    </row>
    <row r="72" spans="1:29" ht="24" customHeight="1">
      <c r="A72" s="6" t="s">
        <v>805</v>
      </c>
      <c r="B72" s="7" t="s">
        <v>806</v>
      </c>
      <c r="C72" s="7" t="s">
        <v>139</v>
      </c>
      <c r="D72" s="7"/>
      <c r="E72" s="7" t="s">
        <v>807</v>
      </c>
      <c r="F72" s="7" t="s">
        <v>808</v>
      </c>
      <c r="G72" s="7" t="s">
        <v>809</v>
      </c>
      <c r="H72" s="7" t="s">
        <v>810</v>
      </c>
      <c r="I72" s="7" t="s">
        <v>35</v>
      </c>
      <c r="J72" s="8" t="s">
        <v>38</v>
      </c>
      <c r="K72" s="9" t="s">
        <v>39</v>
      </c>
      <c r="L72" s="6" t="s">
        <v>811</v>
      </c>
      <c r="M72" s="7" t="s">
        <v>805</v>
      </c>
      <c r="N72" s="7" t="s">
        <v>806</v>
      </c>
      <c r="O72" s="7" t="s">
        <v>146</v>
      </c>
      <c r="P72" s="7" t="s">
        <v>812</v>
      </c>
      <c r="Q72" s="7" t="s">
        <v>60</v>
      </c>
      <c r="R72" s="8" t="s">
        <v>807</v>
      </c>
      <c r="S72" s="10" t="s">
        <v>813</v>
      </c>
      <c r="T72" s="6" t="s">
        <v>62</v>
      </c>
      <c r="U72" s="7" t="s">
        <v>63</v>
      </c>
      <c r="V72" s="7" t="s">
        <v>64</v>
      </c>
      <c r="W72" s="7" t="s">
        <v>96</v>
      </c>
      <c r="X72" s="7" t="s">
        <v>814</v>
      </c>
      <c r="Y72" s="15" t="s">
        <v>64</v>
      </c>
      <c r="Z72" s="7" t="s">
        <v>815</v>
      </c>
      <c r="AA72" s="8" t="s">
        <v>48</v>
      </c>
      <c r="AB72" s="18">
        <f t="shared" si="2"/>
        <v>3.23</v>
      </c>
      <c r="AC72" s="3"/>
    </row>
    <row r="73" spans="1:29" ht="24" customHeight="1">
      <c r="A73" s="6" t="s">
        <v>816</v>
      </c>
      <c r="B73" s="7" t="s">
        <v>113</v>
      </c>
      <c r="C73" s="7" t="s">
        <v>85</v>
      </c>
      <c r="D73" s="7"/>
      <c r="E73" s="7" t="s">
        <v>817</v>
      </c>
      <c r="F73" s="7" t="s">
        <v>818</v>
      </c>
      <c r="G73" s="7" t="s">
        <v>819</v>
      </c>
      <c r="H73" s="7" t="s">
        <v>820</v>
      </c>
      <c r="I73" s="7" t="s">
        <v>35</v>
      </c>
      <c r="J73" s="8" t="s">
        <v>38</v>
      </c>
      <c r="K73" s="9" t="s">
        <v>39</v>
      </c>
      <c r="L73" s="6" t="s">
        <v>821</v>
      </c>
      <c r="M73" s="7" t="s">
        <v>816</v>
      </c>
      <c r="N73" s="7" t="s">
        <v>113</v>
      </c>
      <c r="O73" s="7" t="s">
        <v>91</v>
      </c>
      <c r="P73" s="7" t="s">
        <v>822</v>
      </c>
      <c r="Q73" s="7" t="s">
        <v>93</v>
      </c>
      <c r="R73" s="8" t="s">
        <v>817</v>
      </c>
      <c r="S73" s="10" t="s">
        <v>823</v>
      </c>
      <c r="T73" s="6" t="s">
        <v>62</v>
      </c>
      <c r="U73" s="7" t="s">
        <v>63</v>
      </c>
      <c r="V73" s="7" t="s">
        <v>95</v>
      </c>
      <c r="W73" s="7" t="s">
        <v>96</v>
      </c>
      <c r="X73" s="7" t="s">
        <v>824</v>
      </c>
      <c r="Y73" s="15" t="s">
        <v>95</v>
      </c>
      <c r="Z73" s="7" t="s">
        <v>825</v>
      </c>
      <c r="AA73" s="8" t="s">
        <v>48</v>
      </c>
      <c r="AB73" s="18">
        <f t="shared" si="2"/>
        <v>3.33</v>
      </c>
      <c r="AC73" s="3"/>
    </row>
    <row r="74" spans="1:29" ht="64.05" customHeight="1">
      <c r="A74" s="6" t="s">
        <v>826</v>
      </c>
      <c r="B74" s="7" t="s">
        <v>100</v>
      </c>
      <c r="C74" s="7" t="s">
        <v>827</v>
      </c>
      <c r="D74" s="7"/>
      <c r="E74" s="7" t="s">
        <v>828</v>
      </c>
      <c r="F74" s="7" t="s">
        <v>829</v>
      </c>
      <c r="G74" s="7" t="s">
        <v>830</v>
      </c>
      <c r="H74" s="7" t="s">
        <v>831</v>
      </c>
      <c r="I74" s="7" t="s">
        <v>35</v>
      </c>
      <c r="J74" s="8" t="s">
        <v>38</v>
      </c>
      <c r="K74" s="9" t="s">
        <v>39</v>
      </c>
      <c r="L74" s="6" t="s">
        <v>832</v>
      </c>
      <c r="M74" s="7" t="s">
        <v>826</v>
      </c>
      <c r="N74" s="7" t="s">
        <v>100</v>
      </c>
      <c r="O74" s="7" t="s">
        <v>833</v>
      </c>
      <c r="P74" s="7" t="s">
        <v>834</v>
      </c>
      <c r="Q74" s="7" t="s">
        <v>60</v>
      </c>
      <c r="R74" s="8" t="s">
        <v>828</v>
      </c>
      <c r="S74" s="10" t="s">
        <v>835</v>
      </c>
      <c r="T74" s="6" t="s">
        <v>62</v>
      </c>
      <c r="U74" s="7" t="s">
        <v>63</v>
      </c>
      <c r="V74" s="7" t="s">
        <v>35</v>
      </c>
      <c r="W74" s="7" t="s">
        <v>230</v>
      </c>
      <c r="X74" s="7" t="s">
        <v>836</v>
      </c>
      <c r="Y74" s="16">
        <v>2</v>
      </c>
      <c r="Z74" s="7" t="s">
        <v>837</v>
      </c>
      <c r="AA74" s="8" t="s">
        <v>48</v>
      </c>
      <c r="AB74" s="18">
        <f t="shared" si="2"/>
        <v>7.49</v>
      </c>
      <c r="AC74" s="3" t="s">
        <v>257</v>
      </c>
    </row>
    <row r="75" spans="1:29" ht="64.05" customHeight="1">
      <c r="A75" s="6" t="s">
        <v>838</v>
      </c>
      <c r="B75" s="7" t="s">
        <v>839</v>
      </c>
      <c r="C75" s="7" t="s">
        <v>840</v>
      </c>
      <c r="D75" s="7"/>
      <c r="E75" s="7" t="s">
        <v>841</v>
      </c>
      <c r="F75" s="7" t="s">
        <v>842</v>
      </c>
      <c r="G75" s="7" t="s">
        <v>838</v>
      </c>
      <c r="H75" s="7" t="s">
        <v>843</v>
      </c>
      <c r="I75" s="7" t="s">
        <v>35</v>
      </c>
      <c r="J75" s="8" t="s">
        <v>38</v>
      </c>
      <c r="K75" s="9" t="s">
        <v>39</v>
      </c>
      <c r="L75" s="6" t="s">
        <v>844</v>
      </c>
      <c r="M75" s="7" t="s">
        <v>838</v>
      </c>
      <c r="N75" s="7" t="s">
        <v>839</v>
      </c>
      <c r="O75" s="7" t="s">
        <v>845</v>
      </c>
      <c r="P75" s="7" t="s">
        <v>846</v>
      </c>
      <c r="Q75" s="7" t="s">
        <v>847</v>
      </c>
      <c r="R75" s="8" t="s">
        <v>841</v>
      </c>
      <c r="S75" s="10" t="s">
        <v>848</v>
      </c>
      <c r="T75" s="6" t="s">
        <v>62</v>
      </c>
      <c r="U75" s="7" t="s">
        <v>63</v>
      </c>
      <c r="V75" s="7" t="s">
        <v>35</v>
      </c>
      <c r="W75" s="7" t="s">
        <v>849</v>
      </c>
      <c r="X75" s="7" t="s">
        <v>850</v>
      </c>
      <c r="Y75" s="16">
        <v>2</v>
      </c>
      <c r="Z75" s="7" t="s">
        <v>851</v>
      </c>
      <c r="AA75" s="8" t="s">
        <v>48</v>
      </c>
      <c r="AB75" s="18">
        <f t="shared" si="2"/>
        <v>14.18</v>
      </c>
      <c r="AC75" s="3" t="s">
        <v>257</v>
      </c>
    </row>
    <row r="76" spans="1:29" ht="24" customHeight="1">
      <c r="A76" s="6" t="s">
        <v>852</v>
      </c>
      <c r="B76" s="7" t="s">
        <v>138</v>
      </c>
      <c r="C76" s="7" t="s">
        <v>210</v>
      </c>
      <c r="D76" s="7"/>
      <c r="E76" s="7" t="s">
        <v>853</v>
      </c>
      <c r="F76" s="7" t="s">
        <v>854</v>
      </c>
      <c r="G76" s="7" t="s">
        <v>855</v>
      </c>
      <c r="H76" s="7" t="s">
        <v>856</v>
      </c>
      <c r="I76" s="7" t="s">
        <v>35</v>
      </c>
      <c r="J76" s="8" t="s">
        <v>38</v>
      </c>
      <c r="K76" s="9" t="s">
        <v>39</v>
      </c>
      <c r="L76" s="6" t="s">
        <v>857</v>
      </c>
      <c r="M76" s="7" t="s">
        <v>852</v>
      </c>
      <c r="N76" s="7" t="s">
        <v>138</v>
      </c>
      <c r="O76" s="7" t="s">
        <v>146</v>
      </c>
      <c r="P76" s="7" t="s">
        <v>858</v>
      </c>
      <c r="Q76" s="7" t="s">
        <v>93</v>
      </c>
      <c r="R76" s="8" t="s">
        <v>853</v>
      </c>
      <c r="S76" s="10" t="s">
        <v>859</v>
      </c>
      <c r="T76" s="6" t="s">
        <v>62</v>
      </c>
      <c r="U76" s="7" t="s">
        <v>63</v>
      </c>
      <c r="V76" s="7" t="s">
        <v>95</v>
      </c>
      <c r="W76" s="7" t="s">
        <v>124</v>
      </c>
      <c r="X76" s="7" t="s">
        <v>860</v>
      </c>
      <c r="Y76" s="15" t="s">
        <v>95</v>
      </c>
      <c r="Z76" s="7" t="s">
        <v>861</v>
      </c>
      <c r="AA76" s="8" t="s">
        <v>48</v>
      </c>
      <c r="AB76" s="18">
        <f t="shared" si="2"/>
        <v>2.89</v>
      </c>
      <c r="AC76" s="3"/>
    </row>
    <row r="77" spans="1:29" ht="24" customHeight="1">
      <c r="A77" s="6" t="s">
        <v>862</v>
      </c>
      <c r="B77" s="7" t="s">
        <v>195</v>
      </c>
      <c r="C77" s="7" t="s">
        <v>863</v>
      </c>
      <c r="D77" s="7"/>
      <c r="E77" s="7" t="s">
        <v>864</v>
      </c>
      <c r="F77" s="7" t="s">
        <v>865</v>
      </c>
      <c r="G77" s="7" t="s">
        <v>862</v>
      </c>
      <c r="H77" s="7" t="s">
        <v>866</v>
      </c>
      <c r="I77" s="7" t="s">
        <v>35</v>
      </c>
      <c r="J77" s="8" t="s">
        <v>38</v>
      </c>
      <c r="K77" s="9" t="s">
        <v>39</v>
      </c>
      <c r="L77" s="6" t="s">
        <v>867</v>
      </c>
      <c r="M77" s="7" t="s">
        <v>862</v>
      </c>
      <c r="N77" s="7" t="s">
        <v>195</v>
      </c>
      <c r="O77" s="7" t="s">
        <v>868</v>
      </c>
      <c r="P77" s="7" t="s">
        <v>869</v>
      </c>
      <c r="Q77" s="7" t="s">
        <v>169</v>
      </c>
      <c r="R77" s="8" t="s">
        <v>864</v>
      </c>
      <c r="S77" s="10" t="s">
        <v>870</v>
      </c>
      <c r="T77" s="6" t="s">
        <v>62</v>
      </c>
      <c r="U77" s="7" t="s">
        <v>63</v>
      </c>
      <c r="V77" s="7" t="s">
        <v>95</v>
      </c>
      <c r="W77" s="7" t="s">
        <v>80</v>
      </c>
      <c r="X77" s="7" t="s">
        <v>871</v>
      </c>
      <c r="Y77" s="15" t="s">
        <v>95</v>
      </c>
      <c r="Z77" s="7" t="s">
        <v>872</v>
      </c>
      <c r="AA77" s="8" t="s">
        <v>48</v>
      </c>
      <c r="AB77" s="18">
        <f t="shared" si="2"/>
        <v>3.62</v>
      </c>
      <c r="AC77" s="3"/>
    </row>
    <row r="78" spans="1:29" ht="24" customHeight="1">
      <c r="A78" s="6" t="s">
        <v>873</v>
      </c>
      <c r="B78" s="7" t="s">
        <v>874</v>
      </c>
      <c r="C78" s="7" t="s">
        <v>875</v>
      </c>
      <c r="D78" s="7"/>
      <c r="E78" s="7" t="s">
        <v>876</v>
      </c>
      <c r="F78" s="7" t="s">
        <v>877</v>
      </c>
      <c r="G78" s="7" t="s">
        <v>873</v>
      </c>
      <c r="H78" s="7" t="s">
        <v>878</v>
      </c>
      <c r="I78" s="7" t="s">
        <v>35</v>
      </c>
      <c r="J78" s="8" t="s">
        <v>38</v>
      </c>
      <c r="K78" s="9" t="s">
        <v>39</v>
      </c>
      <c r="L78" s="6" t="s">
        <v>879</v>
      </c>
      <c r="M78" s="7" t="s">
        <v>873</v>
      </c>
      <c r="N78" s="7" t="s">
        <v>874</v>
      </c>
      <c r="O78" s="7" t="s">
        <v>880</v>
      </c>
      <c r="P78" s="7" t="s">
        <v>881</v>
      </c>
      <c r="Q78" s="7" t="s">
        <v>512</v>
      </c>
      <c r="R78" s="8" t="s">
        <v>876</v>
      </c>
      <c r="S78" s="10" t="s">
        <v>882</v>
      </c>
      <c r="T78" s="6" t="s">
        <v>62</v>
      </c>
      <c r="U78" s="7" t="s">
        <v>63</v>
      </c>
      <c r="V78" s="7" t="s">
        <v>64</v>
      </c>
      <c r="W78" s="7" t="s">
        <v>65</v>
      </c>
      <c r="X78" s="7" t="s">
        <v>883</v>
      </c>
      <c r="Y78" s="15" t="s">
        <v>64</v>
      </c>
      <c r="Z78" s="7" t="s">
        <v>884</v>
      </c>
      <c r="AA78" s="8" t="s">
        <v>48</v>
      </c>
      <c r="AB78" s="18">
        <f t="shared" si="2"/>
        <v>2.78</v>
      </c>
      <c r="AC78" s="3"/>
    </row>
    <row r="79" spans="1:29" ht="24" customHeight="1">
      <c r="A79" s="6" t="s">
        <v>885</v>
      </c>
      <c r="B79" s="7" t="s">
        <v>113</v>
      </c>
      <c r="C79" s="7" t="s">
        <v>886</v>
      </c>
      <c r="D79" s="7"/>
      <c r="E79" s="7" t="s">
        <v>887</v>
      </c>
      <c r="F79" s="7" t="s">
        <v>888</v>
      </c>
      <c r="G79" s="7" t="s">
        <v>645</v>
      </c>
      <c r="H79" s="7" t="s">
        <v>889</v>
      </c>
      <c r="I79" s="7" t="s">
        <v>87</v>
      </c>
      <c r="J79" s="8" t="s">
        <v>38</v>
      </c>
      <c r="K79" s="9" t="s">
        <v>39</v>
      </c>
      <c r="L79" s="6" t="s">
        <v>890</v>
      </c>
      <c r="M79" s="7" t="s">
        <v>885</v>
      </c>
      <c r="N79" s="7" t="s">
        <v>113</v>
      </c>
      <c r="O79" s="7" t="s">
        <v>120</v>
      </c>
      <c r="P79" s="7" t="s">
        <v>891</v>
      </c>
      <c r="Q79" s="7" t="s">
        <v>93</v>
      </c>
      <c r="R79" s="8" t="s">
        <v>887</v>
      </c>
      <c r="S79" s="10" t="s">
        <v>892</v>
      </c>
      <c r="T79" s="6" t="s">
        <v>62</v>
      </c>
      <c r="U79" s="7" t="s">
        <v>63</v>
      </c>
      <c r="V79" s="7" t="s">
        <v>123</v>
      </c>
      <c r="W79" s="7" t="s">
        <v>124</v>
      </c>
      <c r="X79" s="7" t="s">
        <v>893</v>
      </c>
      <c r="Y79" s="15" t="s">
        <v>123</v>
      </c>
      <c r="Z79" s="7" t="s">
        <v>894</v>
      </c>
      <c r="AA79" s="8" t="s">
        <v>48</v>
      </c>
      <c r="AB79" s="18">
        <f t="shared" si="2"/>
        <v>2.61</v>
      </c>
      <c r="AC79" s="3"/>
    </row>
    <row r="80" spans="1:29" ht="24" customHeight="1">
      <c r="A80" s="6" t="s">
        <v>895</v>
      </c>
      <c r="B80" s="7" t="s">
        <v>51</v>
      </c>
      <c r="C80" s="7" t="s">
        <v>52</v>
      </c>
      <c r="D80" s="7"/>
      <c r="E80" s="7" t="s">
        <v>896</v>
      </c>
      <c r="F80" s="7" t="s">
        <v>897</v>
      </c>
      <c r="G80" s="7" t="s">
        <v>445</v>
      </c>
      <c r="H80" s="7" t="s">
        <v>898</v>
      </c>
      <c r="I80" s="7" t="s">
        <v>129</v>
      </c>
      <c r="J80" s="8" t="s">
        <v>38</v>
      </c>
      <c r="K80" s="9" t="s">
        <v>39</v>
      </c>
      <c r="L80" s="6" t="s">
        <v>899</v>
      </c>
      <c r="M80" s="7" t="s">
        <v>895</v>
      </c>
      <c r="N80" s="7" t="s">
        <v>51</v>
      </c>
      <c r="O80" s="7" t="s">
        <v>58</v>
      </c>
      <c r="P80" s="7" t="s">
        <v>900</v>
      </c>
      <c r="Q80" s="7" t="s">
        <v>60</v>
      </c>
      <c r="R80" s="8" t="s">
        <v>896</v>
      </c>
      <c r="S80" s="10" t="s">
        <v>901</v>
      </c>
      <c r="T80" s="6" t="s">
        <v>62</v>
      </c>
      <c r="U80" s="7" t="s">
        <v>63</v>
      </c>
      <c r="V80" s="7" t="s">
        <v>95</v>
      </c>
      <c r="W80" s="7" t="s">
        <v>65</v>
      </c>
      <c r="X80" s="7" t="s">
        <v>902</v>
      </c>
      <c r="Y80" s="15" t="s">
        <v>95</v>
      </c>
      <c r="Z80" s="7" t="s">
        <v>903</v>
      </c>
      <c r="AA80" s="8" t="s">
        <v>48</v>
      </c>
      <c r="AB80" s="18">
        <f t="shared" si="2"/>
        <v>4.97</v>
      </c>
      <c r="AC80" s="3"/>
    </row>
    <row r="81" spans="1:29" ht="64.05" customHeight="1">
      <c r="A81" s="6" t="s">
        <v>904</v>
      </c>
      <c r="B81" s="7" t="s">
        <v>246</v>
      </c>
      <c r="C81" s="7" t="s">
        <v>905</v>
      </c>
      <c r="D81" s="7"/>
      <c r="E81" s="7" t="s">
        <v>906</v>
      </c>
      <c r="F81" s="7" t="s">
        <v>907</v>
      </c>
      <c r="G81" s="7" t="s">
        <v>904</v>
      </c>
      <c r="H81" s="7" t="s">
        <v>908</v>
      </c>
      <c r="I81" s="7" t="s">
        <v>37</v>
      </c>
      <c r="J81" s="8" t="s">
        <v>38</v>
      </c>
      <c r="K81" s="9" t="s">
        <v>39</v>
      </c>
      <c r="L81" s="6" t="s">
        <v>909</v>
      </c>
      <c r="M81" s="7" t="s">
        <v>904</v>
      </c>
      <c r="N81" s="7" t="s">
        <v>246</v>
      </c>
      <c r="O81" s="7" t="s">
        <v>910</v>
      </c>
      <c r="P81" s="7" t="s">
        <v>911</v>
      </c>
      <c r="Q81" s="7" t="s">
        <v>78</v>
      </c>
      <c r="R81" s="8" t="s">
        <v>906</v>
      </c>
      <c r="S81" s="10" t="s">
        <v>912</v>
      </c>
      <c r="T81" s="6" t="s">
        <v>62</v>
      </c>
      <c r="U81" s="7" t="s">
        <v>63</v>
      </c>
      <c r="V81" s="7" t="s">
        <v>35</v>
      </c>
      <c r="W81" s="7" t="s">
        <v>124</v>
      </c>
      <c r="X81" s="7" t="s">
        <v>913</v>
      </c>
      <c r="Y81" s="16">
        <v>6</v>
      </c>
      <c r="Z81" s="7" t="s">
        <v>914</v>
      </c>
      <c r="AA81" s="8" t="s">
        <v>48</v>
      </c>
      <c r="AB81" s="18">
        <f t="shared" si="2"/>
        <v>68.58</v>
      </c>
      <c r="AC81" s="3" t="s">
        <v>915</v>
      </c>
    </row>
    <row r="82" spans="1:29" ht="64.05" customHeight="1">
      <c r="A82" s="6" t="s">
        <v>916</v>
      </c>
      <c r="B82" s="7" t="s">
        <v>246</v>
      </c>
      <c r="C82" s="7" t="s">
        <v>917</v>
      </c>
      <c r="D82" s="7"/>
      <c r="E82" s="7" t="s">
        <v>918</v>
      </c>
      <c r="F82" s="7" t="s">
        <v>919</v>
      </c>
      <c r="G82" s="7" t="s">
        <v>916</v>
      </c>
      <c r="H82" s="7" t="s">
        <v>920</v>
      </c>
      <c r="I82" s="7" t="s">
        <v>37</v>
      </c>
      <c r="J82" s="8" t="s">
        <v>38</v>
      </c>
      <c r="K82" s="9" t="s">
        <v>39</v>
      </c>
      <c r="L82" s="6" t="s">
        <v>921</v>
      </c>
      <c r="M82" s="7" t="s">
        <v>916</v>
      </c>
      <c r="N82" s="7" t="s">
        <v>246</v>
      </c>
      <c r="O82" s="7" t="s">
        <v>910</v>
      </c>
      <c r="P82" s="7" t="s">
        <v>922</v>
      </c>
      <c r="Q82" s="7" t="s">
        <v>78</v>
      </c>
      <c r="R82" s="8" t="s">
        <v>918</v>
      </c>
      <c r="S82" s="10" t="s">
        <v>923</v>
      </c>
      <c r="T82" s="6" t="s">
        <v>62</v>
      </c>
      <c r="U82" s="7" t="s">
        <v>63</v>
      </c>
      <c r="V82" s="7" t="s">
        <v>35</v>
      </c>
      <c r="W82" s="7" t="s">
        <v>124</v>
      </c>
      <c r="X82" s="7" t="s">
        <v>37</v>
      </c>
      <c r="Y82" s="16">
        <v>6</v>
      </c>
      <c r="Z82" s="7" t="s">
        <v>924</v>
      </c>
      <c r="AA82" s="8" t="s">
        <v>48</v>
      </c>
      <c r="AB82" s="18">
        <f t="shared" si="2"/>
        <v>92.52</v>
      </c>
      <c r="AC82" s="3" t="s">
        <v>915</v>
      </c>
    </row>
    <row r="83" spans="1:29" ht="24" customHeight="1">
      <c r="A83" s="6" t="s">
        <v>925</v>
      </c>
      <c r="B83" s="7" t="s">
        <v>138</v>
      </c>
      <c r="C83" s="7" t="s">
        <v>210</v>
      </c>
      <c r="D83" s="7"/>
      <c r="E83" s="7" t="s">
        <v>926</v>
      </c>
      <c r="F83" s="7" t="s">
        <v>927</v>
      </c>
      <c r="G83" s="7" t="s">
        <v>117</v>
      </c>
      <c r="H83" s="7" t="s">
        <v>928</v>
      </c>
      <c r="I83" s="7" t="s">
        <v>35</v>
      </c>
      <c r="J83" s="8" t="s">
        <v>38</v>
      </c>
      <c r="K83" s="9" t="s">
        <v>39</v>
      </c>
      <c r="L83" s="6" t="s">
        <v>929</v>
      </c>
      <c r="M83" s="7" t="s">
        <v>925</v>
      </c>
      <c r="N83" s="7" t="s">
        <v>138</v>
      </c>
      <c r="O83" s="7" t="s">
        <v>146</v>
      </c>
      <c r="P83" s="7" t="s">
        <v>930</v>
      </c>
      <c r="Q83" s="7" t="s">
        <v>93</v>
      </c>
      <c r="R83" s="8" t="s">
        <v>926</v>
      </c>
      <c r="S83" s="10" t="s">
        <v>931</v>
      </c>
      <c r="T83" s="6" t="s">
        <v>62</v>
      </c>
      <c r="U83" s="7" t="s">
        <v>63</v>
      </c>
      <c r="V83" s="7" t="s">
        <v>191</v>
      </c>
      <c r="W83" s="7" t="s">
        <v>124</v>
      </c>
      <c r="X83" s="7" t="s">
        <v>932</v>
      </c>
      <c r="Y83" s="15" t="s">
        <v>191</v>
      </c>
      <c r="Z83" s="7" t="s">
        <v>933</v>
      </c>
      <c r="AA83" s="8" t="s">
        <v>48</v>
      </c>
      <c r="AB83" s="18">
        <f t="shared" si="2"/>
        <v>3.58</v>
      </c>
      <c r="AC83" s="3"/>
    </row>
    <row r="84" spans="1:29" ht="24" customHeight="1">
      <c r="A84" s="6" t="s">
        <v>934</v>
      </c>
      <c r="B84" s="7" t="s">
        <v>431</v>
      </c>
      <c r="C84" s="7" t="s">
        <v>139</v>
      </c>
      <c r="D84" s="7"/>
      <c r="E84" s="7" t="s">
        <v>935</v>
      </c>
      <c r="F84" s="7" t="s">
        <v>936</v>
      </c>
      <c r="G84" s="7" t="s">
        <v>727</v>
      </c>
      <c r="H84" s="7" t="s">
        <v>937</v>
      </c>
      <c r="I84" s="7" t="s">
        <v>35</v>
      </c>
      <c r="J84" s="8" t="s">
        <v>38</v>
      </c>
      <c r="K84" s="9" t="s">
        <v>39</v>
      </c>
      <c r="L84" s="6" t="s">
        <v>938</v>
      </c>
      <c r="M84" s="7" t="s">
        <v>934</v>
      </c>
      <c r="N84" s="7" t="s">
        <v>431</v>
      </c>
      <c r="O84" s="7" t="s">
        <v>146</v>
      </c>
      <c r="P84" s="7" t="s">
        <v>939</v>
      </c>
      <c r="Q84" s="7" t="s">
        <v>60</v>
      </c>
      <c r="R84" s="8" t="s">
        <v>935</v>
      </c>
      <c r="S84" s="10" t="s">
        <v>940</v>
      </c>
      <c r="T84" s="6" t="s">
        <v>62</v>
      </c>
      <c r="U84" s="7" t="s">
        <v>63</v>
      </c>
      <c r="V84" s="7" t="s">
        <v>191</v>
      </c>
      <c r="W84" s="7" t="s">
        <v>96</v>
      </c>
      <c r="X84" s="7" t="s">
        <v>941</v>
      </c>
      <c r="Y84" s="15" t="s">
        <v>191</v>
      </c>
      <c r="Z84" s="7" t="s">
        <v>942</v>
      </c>
      <c r="AA84" s="8" t="s">
        <v>48</v>
      </c>
      <c r="AB84" s="18">
        <f t="shared" si="2"/>
        <v>2.68</v>
      </c>
      <c r="AC84" s="3"/>
    </row>
    <row r="85" spans="1:29" ht="24" customHeight="1">
      <c r="A85" s="6" t="s">
        <v>943</v>
      </c>
      <c r="B85" s="7" t="s">
        <v>209</v>
      </c>
      <c r="C85" s="7" t="s">
        <v>139</v>
      </c>
      <c r="D85" s="7"/>
      <c r="E85" s="7" t="s">
        <v>944</v>
      </c>
      <c r="F85" s="7" t="s">
        <v>945</v>
      </c>
      <c r="G85" s="7" t="s">
        <v>809</v>
      </c>
      <c r="H85" s="7" t="s">
        <v>946</v>
      </c>
      <c r="I85" s="7" t="s">
        <v>35</v>
      </c>
      <c r="J85" s="8" t="s">
        <v>38</v>
      </c>
      <c r="K85" s="9" t="s">
        <v>39</v>
      </c>
      <c r="L85" s="6" t="s">
        <v>947</v>
      </c>
      <c r="M85" s="7" t="s">
        <v>943</v>
      </c>
      <c r="N85" s="7" t="s">
        <v>209</v>
      </c>
      <c r="O85" s="7" t="s">
        <v>146</v>
      </c>
      <c r="P85" s="7" t="s">
        <v>948</v>
      </c>
      <c r="Q85" s="7" t="s">
        <v>60</v>
      </c>
      <c r="R85" s="8" t="s">
        <v>944</v>
      </c>
      <c r="S85" s="10" t="s">
        <v>949</v>
      </c>
      <c r="T85" s="6" t="s">
        <v>62</v>
      </c>
      <c r="U85" s="7" t="s">
        <v>63</v>
      </c>
      <c r="V85" s="7" t="s">
        <v>123</v>
      </c>
      <c r="W85" s="7" t="s">
        <v>96</v>
      </c>
      <c r="X85" s="7" t="s">
        <v>950</v>
      </c>
      <c r="Y85" s="15" t="s">
        <v>123</v>
      </c>
      <c r="Z85" s="7" t="s">
        <v>951</v>
      </c>
      <c r="AA85" s="8" t="s">
        <v>48</v>
      </c>
      <c r="AB85" s="18">
        <f t="shared" si="2"/>
        <v>3.92</v>
      </c>
      <c r="AC85" s="3"/>
    </row>
    <row r="86" spans="1:29" ht="64.05" customHeight="1">
      <c r="A86" s="6" t="s">
        <v>952</v>
      </c>
      <c r="B86" s="7" t="s">
        <v>195</v>
      </c>
      <c r="C86" s="7" t="s">
        <v>953</v>
      </c>
      <c r="D86" s="7"/>
      <c r="E86" s="7" t="s">
        <v>954</v>
      </c>
      <c r="F86" s="7" t="s">
        <v>955</v>
      </c>
      <c r="G86" s="7" t="s">
        <v>645</v>
      </c>
      <c r="H86" s="7" t="s">
        <v>956</v>
      </c>
      <c r="I86" s="7" t="s">
        <v>37</v>
      </c>
      <c r="J86" s="8" t="s">
        <v>38</v>
      </c>
      <c r="K86" s="9" t="s">
        <v>39</v>
      </c>
      <c r="L86" s="6" t="s">
        <v>957</v>
      </c>
      <c r="M86" s="7" t="s">
        <v>952</v>
      </c>
      <c r="N86" s="7" t="s">
        <v>195</v>
      </c>
      <c r="O86" s="7" t="s">
        <v>958</v>
      </c>
      <c r="P86" s="7" t="s">
        <v>959</v>
      </c>
      <c r="Q86" s="7" t="s">
        <v>93</v>
      </c>
      <c r="R86" s="8" t="s">
        <v>954</v>
      </c>
      <c r="S86" s="10" t="s">
        <v>960</v>
      </c>
      <c r="T86" s="6" t="s">
        <v>62</v>
      </c>
      <c r="U86" s="7" t="s">
        <v>63</v>
      </c>
      <c r="V86" s="7" t="s">
        <v>64</v>
      </c>
      <c r="W86" s="7" t="s">
        <v>849</v>
      </c>
      <c r="X86" s="7" t="s">
        <v>961</v>
      </c>
      <c r="Y86" s="16">
        <v>10</v>
      </c>
      <c r="Z86" s="7" t="s">
        <v>962</v>
      </c>
      <c r="AA86" s="8" t="s">
        <v>48</v>
      </c>
      <c r="AB86" s="18">
        <f t="shared" si="2"/>
        <v>8.56</v>
      </c>
      <c r="AC86" s="3" t="s">
        <v>963</v>
      </c>
    </row>
    <row r="87" spans="1:29" ht="24" customHeight="1">
      <c r="A87" s="6" t="s">
        <v>964</v>
      </c>
      <c r="B87" s="7" t="s">
        <v>138</v>
      </c>
      <c r="C87" s="7" t="s">
        <v>965</v>
      </c>
      <c r="D87" s="7"/>
      <c r="E87" s="7" t="s">
        <v>966</v>
      </c>
      <c r="F87" s="7" t="s">
        <v>967</v>
      </c>
      <c r="G87" s="7" t="s">
        <v>968</v>
      </c>
      <c r="H87" s="7" t="s">
        <v>969</v>
      </c>
      <c r="I87" s="7" t="s">
        <v>37</v>
      </c>
      <c r="J87" s="8" t="s">
        <v>38</v>
      </c>
      <c r="K87" s="9" t="s">
        <v>39</v>
      </c>
      <c r="L87" s="6" t="s">
        <v>970</v>
      </c>
      <c r="M87" s="7" t="s">
        <v>964</v>
      </c>
      <c r="N87" s="7" t="s">
        <v>138</v>
      </c>
      <c r="O87" s="7" t="s">
        <v>971</v>
      </c>
      <c r="P87" s="7" t="s">
        <v>972</v>
      </c>
      <c r="Q87" s="7" t="s">
        <v>60</v>
      </c>
      <c r="R87" s="8" t="s">
        <v>966</v>
      </c>
      <c r="S87" s="10" t="s">
        <v>973</v>
      </c>
      <c r="T87" s="6" t="s">
        <v>62</v>
      </c>
      <c r="U87" s="7" t="s">
        <v>63</v>
      </c>
      <c r="V87" s="7" t="s">
        <v>191</v>
      </c>
      <c r="W87" s="7" t="s">
        <v>80</v>
      </c>
      <c r="X87" s="7" t="s">
        <v>974</v>
      </c>
      <c r="Y87" s="15" t="s">
        <v>191</v>
      </c>
      <c r="Z87" s="7" t="s">
        <v>975</v>
      </c>
      <c r="AA87" s="8" t="s">
        <v>48</v>
      </c>
      <c r="AB87" s="18">
        <f t="shared" si="2"/>
        <v>5.08</v>
      </c>
      <c r="AC87" s="3"/>
    </row>
    <row r="88" spans="1:29" ht="73.95" customHeight="1">
      <c r="A88" s="2"/>
      <c r="B88" s="2"/>
      <c r="C88" s="12" t="s">
        <v>958</v>
      </c>
      <c r="D88" s="2" t="s">
        <v>976</v>
      </c>
      <c r="E88" s="2"/>
      <c r="F88" s="2" t="s">
        <v>977</v>
      </c>
      <c r="G88" s="3" t="s">
        <v>978</v>
      </c>
      <c r="H88" s="3"/>
      <c r="I88" s="2">
        <v>0</v>
      </c>
      <c r="J88" s="2" t="s">
        <v>38</v>
      </c>
      <c r="K88" s="13" t="s">
        <v>979</v>
      </c>
      <c r="L88" s="3" t="s">
        <v>978</v>
      </c>
      <c r="M88" s="3"/>
      <c r="N88" s="3"/>
      <c r="O88" s="14" t="s">
        <v>958</v>
      </c>
      <c r="P88" s="3" t="s">
        <v>976</v>
      </c>
      <c r="Q88" s="3" t="s">
        <v>93</v>
      </c>
      <c r="R88" s="2"/>
      <c r="S88" s="10"/>
      <c r="T88" s="2"/>
      <c r="U88" s="2"/>
      <c r="V88" s="2"/>
      <c r="W88" s="2"/>
      <c r="X88" s="2"/>
      <c r="Y88" s="17">
        <v>4</v>
      </c>
      <c r="Z88" s="2"/>
      <c r="AA88" s="2"/>
      <c r="AB88" s="18"/>
      <c r="AC88" s="3" t="s">
        <v>980</v>
      </c>
    </row>
    <row r="89" spans="1:29" ht="73.95" customHeight="1">
      <c r="A89" s="2"/>
      <c r="B89" s="2"/>
      <c r="C89" s="12" t="s">
        <v>958</v>
      </c>
      <c r="D89" s="2" t="s">
        <v>976</v>
      </c>
      <c r="E89" s="2"/>
      <c r="F89" s="2" t="s">
        <v>981</v>
      </c>
      <c r="G89" s="3" t="s">
        <v>982</v>
      </c>
      <c r="H89" s="3"/>
      <c r="I89" s="2">
        <v>0</v>
      </c>
      <c r="J89" s="2" t="s">
        <v>38</v>
      </c>
      <c r="K89" s="13" t="s">
        <v>979</v>
      </c>
      <c r="L89" s="3" t="s">
        <v>982</v>
      </c>
      <c r="M89" s="3"/>
      <c r="N89" s="3"/>
      <c r="O89" s="14" t="s">
        <v>958</v>
      </c>
      <c r="P89" s="3" t="s">
        <v>976</v>
      </c>
      <c r="Q89" s="3" t="s">
        <v>93</v>
      </c>
      <c r="R89" s="2"/>
      <c r="S89" s="10"/>
      <c r="T89" s="2"/>
      <c r="U89" s="2"/>
      <c r="V89" s="2"/>
      <c r="W89" s="2"/>
      <c r="X89" s="2"/>
      <c r="Y89" s="17">
        <v>4</v>
      </c>
      <c r="Z89" s="2"/>
      <c r="AA89" s="2"/>
      <c r="AB89" s="18"/>
      <c r="AC89" s="3" t="s">
        <v>980</v>
      </c>
    </row>
    <row r="90" spans="1:29" ht="73.95" customHeight="1">
      <c r="A90" s="2"/>
      <c r="B90" s="2"/>
      <c r="C90" s="12" t="s">
        <v>958</v>
      </c>
      <c r="D90" s="2" t="s">
        <v>976</v>
      </c>
      <c r="E90" s="2"/>
      <c r="F90" s="2" t="s">
        <v>983</v>
      </c>
      <c r="G90" s="3" t="s">
        <v>984</v>
      </c>
      <c r="H90" s="3"/>
      <c r="I90" s="2">
        <v>0</v>
      </c>
      <c r="J90" s="2" t="s">
        <v>38</v>
      </c>
      <c r="K90" s="13" t="s">
        <v>979</v>
      </c>
      <c r="L90" s="3" t="s">
        <v>984</v>
      </c>
      <c r="M90" s="3"/>
      <c r="N90" s="3"/>
      <c r="O90" s="14" t="s">
        <v>958</v>
      </c>
      <c r="P90" s="3" t="s">
        <v>976</v>
      </c>
      <c r="Q90" s="3" t="s">
        <v>93</v>
      </c>
      <c r="R90" s="2"/>
      <c r="S90" s="10"/>
      <c r="T90" s="2"/>
      <c r="U90" s="2"/>
      <c r="V90" s="2"/>
      <c r="W90" s="2"/>
      <c r="X90" s="2"/>
      <c r="Y90" s="17">
        <v>4</v>
      </c>
      <c r="Z90" s="2"/>
      <c r="AA90" s="2"/>
      <c r="AB90" s="18"/>
      <c r="AC90" s="3" t="s">
        <v>980</v>
      </c>
    </row>
    <row r="91" spans="1:29" ht="73.95" customHeight="1">
      <c r="A91" s="2"/>
      <c r="B91" s="2"/>
      <c r="C91" s="12" t="s">
        <v>958</v>
      </c>
      <c r="D91" s="2" t="s">
        <v>976</v>
      </c>
      <c r="E91" s="2"/>
      <c r="F91" s="2" t="s">
        <v>985</v>
      </c>
      <c r="G91" s="3" t="s">
        <v>986</v>
      </c>
      <c r="H91" s="3"/>
      <c r="I91" s="2">
        <v>0</v>
      </c>
      <c r="J91" s="2" t="s">
        <v>38</v>
      </c>
      <c r="K91" s="13" t="s">
        <v>979</v>
      </c>
      <c r="L91" s="3" t="s">
        <v>986</v>
      </c>
      <c r="M91" s="3"/>
      <c r="N91" s="3"/>
      <c r="O91" s="14" t="s">
        <v>958</v>
      </c>
      <c r="P91" s="3" t="s">
        <v>976</v>
      </c>
      <c r="Q91" s="3" t="s">
        <v>93</v>
      </c>
      <c r="R91" s="2"/>
      <c r="S91" s="10"/>
      <c r="T91" s="2"/>
      <c r="U91" s="2"/>
      <c r="V91" s="2"/>
      <c r="W91" s="2"/>
      <c r="X91" s="2"/>
      <c r="Y91" s="17">
        <v>4</v>
      </c>
      <c r="Z91" s="2"/>
      <c r="AA91" s="2"/>
      <c r="AB91" s="18"/>
      <c r="AC91" s="3" t="s">
        <v>980</v>
      </c>
    </row>
    <row r="92" spans="1:29" ht="73.95" customHeight="1">
      <c r="A92" s="2"/>
      <c r="B92" s="2"/>
      <c r="C92" s="12" t="s">
        <v>971</v>
      </c>
      <c r="D92" s="2" t="s">
        <v>987</v>
      </c>
      <c r="E92" s="2"/>
      <c r="F92" s="2" t="s">
        <v>988</v>
      </c>
      <c r="G92" s="3" t="s">
        <v>989</v>
      </c>
      <c r="H92" s="3"/>
      <c r="I92" s="2">
        <v>0</v>
      </c>
      <c r="J92" s="2" t="s">
        <v>38</v>
      </c>
      <c r="K92" s="13" t="s">
        <v>979</v>
      </c>
      <c r="L92" s="3" t="s">
        <v>989</v>
      </c>
      <c r="M92" s="3"/>
      <c r="N92" s="3"/>
      <c r="O92" s="14" t="s">
        <v>971</v>
      </c>
      <c r="P92" s="3" t="s">
        <v>987</v>
      </c>
      <c r="Q92" s="3" t="s">
        <v>60</v>
      </c>
      <c r="R92" s="2"/>
      <c r="S92" s="10"/>
      <c r="T92" s="2"/>
      <c r="U92" s="2"/>
      <c r="V92" s="2"/>
      <c r="W92" s="2"/>
      <c r="X92" s="2"/>
      <c r="Y92" s="17">
        <v>4</v>
      </c>
      <c r="Z92" s="2"/>
      <c r="AA92" s="2"/>
      <c r="AB92" s="18"/>
      <c r="AC92" s="3" t="s">
        <v>990</v>
      </c>
    </row>
    <row r="93" spans="1:29" ht="73.95" customHeight="1">
      <c r="A93" s="2"/>
      <c r="B93" s="2"/>
      <c r="C93" s="12" t="s">
        <v>971</v>
      </c>
      <c r="D93" s="2" t="s">
        <v>987</v>
      </c>
      <c r="E93" s="2"/>
      <c r="F93" s="2" t="s">
        <v>991</v>
      </c>
      <c r="G93" s="3" t="s">
        <v>992</v>
      </c>
      <c r="H93" s="3"/>
      <c r="I93" s="2">
        <v>0</v>
      </c>
      <c r="J93" s="2" t="s">
        <v>38</v>
      </c>
      <c r="K93" s="13" t="s">
        <v>979</v>
      </c>
      <c r="L93" s="3" t="s">
        <v>992</v>
      </c>
      <c r="M93" s="3"/>
      <c r="N93" s="3"/>
      <c r="O93" s="14" t="s">
        <v>971</v>
      </c>
      <c r="P93" s="3" t="s">
        <v>987</v>
      </c>
      <c r="Q93" s="3" t="s">
        <v>60</v>
      </c>
      <c r="R93" s="2"/>
      <c r="S93" s="10"/>
      <c r="T93" s="2"/>
      <c r="U93" s="2"/>
      <c r="V93" s="2"/>
      <c r="W93" s="2"/>
      <c r="X93" s="2"/>
      <c r="Y93" s="17">
        <v>4</v>
      </c>
      <c r="Z93" s="2"/>
      <c r="AA93" s="2"/>
      <c r="AB93" s="18"/>
      <c r="AC93" s="3" t="s">
        <v>990</v>
      </c>
    </row>
    <row r="94" spans="1:29" ht="73.95" customHeight="1">
      <c r="A94" s="2"/>
      <c r="B94" s="2"/>
      <c r="C94" s="12" t="s">
        <v>971</v>
      </c>
      <c r="D94" s="2" t="s">
        <v>987</v>
      </c>
      <c r="E94" s="2"/>
      <c r="F94" s="2" t="s">
        <v>993</v>
      </c>
      <c r="G94" s="3" t="s">
        <v>994</v>
      </c>
      <c r="H94" s="3"/>
      <c r="I94" s="2">
        <v>0</v>
      </c>
      <c r="J94" s="2" t="s">
        <v>38</v>
      </c>
      <c r="K94" s="13" t="s">
        <v>979</v>
      </c>
      <c r="L94" s="3" t="s">
        <v>994</v>
      </c>
      <c r="M94" s="3"/>
      <c r="N94" s="3"/>
      <c r="O94" s="14" t="s">
        <v>971</v>
      </c>
      <c r="P94" s="3" t="s">
        <v>987</v>
      </c>
      <c r="Q94" s="3" t="s">
        <v>60</v>
      </c>
      <c r="R94" s="2"/>
      <c r="S94" s="10"/>
      <c r="T94" s="2"/>
      <c r="U94" s="2"/>
      <c r="V94" s="2"/>
      <c r="W94" s="2"/>
      <c r="X94" s="2"/>
      <c r="Y94" s="17">
        <v>4</v>
      </c>
      <c r="Z94" s="2"/>
      <c r="AA94" s="2"/>
      <c r="AB94" s="18"/>
      <c r="AC94" s="3" t="s">
        <v>990</v>
      </c>
    </row>
    <row r="95" spans="1:29" ht="73.95" customHeight="1">
      <c r="A95" s="2"/>
      <c r="B95" s="2"/>
      <c r="C95" s="12" t="s">
        <v>971</v>
      </c>
      <c r="D95" s="2" t="s">
        <v>987</v>
      </c>
      <c r="E95" s="2"/>
      <c r="F95" s="2" t="s">
        <v>995</v>
      </c>
      <c r="G95" s="3" t="s">
        <v>996</v>
      </c>
      <c r="H95" s="3"/>
      <c r="I95" s="2">
        <v>0</v>
      </c>
      <c r="J95" s="2" t="s">
        <v>38</v>
      </c>
      <c r="K95" s="13" t="s">
        <v>979</v>
      </c>
      <c r="L95" s="3" t="s">
        <v>996</v>
      </c>
      <c r="M95" s="3"/>
      <c r="N95" s="3"/>
      <c r="O95" s="14" t="s">
        <v>971</v>
      </c>
      <c r="P95" s="3" t="s">
        <v>987</v>
      </c>
      <c r="Q95" s="3" t="s">
        <v>60</v>
      </c>
      <c r="R95" s="2"/>
      <c r="S95" s="10"/>
      <c r="T95" s="2"/>
      <c r="U95" s="2"/>
      <c r="V95" s="2"/>
      <c r="W95" s="2"/>
      <c r="X95" s="2"/>
      <c r="Y95" s="17">
        <v>4</v>
      </c>
      <c r="Z95" s="2"/>
      <c r="AA95" s="2"/>
      <c r="AB95" s="18"/>
      <c r="AC95" s="3" t="s">
        <v>990</v>
      </c>
    </row>
    <row r="96" spans="1:29" ht="73.95" customHeight="1">
      <c r="A96" s="2"/>
      <c r="B96" s="2"/>
      <c r="C96" s="12" t="s">
        <v>120</v>
      </c>
      <c r="D96" s="2" t="s">
        <v>997</v>
      </c>
      <c r="E96" s="2"/>
      <c r="F96" s="2" t="s">
        <v>998</v>
      </c>
      <c r="G96" s="3" t="s">
        <v>999</v>
      </c>
      <c r="H96" s="3"/>
      <c r="I96" s="2">
        <v>0</v>
      </c>
      <c r="J96" s="2" t="s">
        <v>38</v>
      </c>
      <c r="K96" s="13" t="s">
        <v>979</v>
      </c>
      <c r="L96" s="3" t="s">
        <v>999</v>
      </c>
      <c r="M96" s="3"/>
      <c r="N96" s="3"/>
      <c r="O96" s="14" t="s">
        <v>120</v>
      </c>
      <c r="P96" s="3" t="s">
        <v>997</v>
      </c>
      <c r="Q96" s="3" t="s">
        <v>93</v>
      </c>
      <c r="R96" s="2"/>
      <c r="S96" s="10"/>
      <c r="T96" s="2"/>
      <c r="U96" s="2"/>
      <c r="V96" s="2"/>
      <c r="W96" s="2"/>
      <c r="X96" s="2"/>
      <c r="Y96" s="17">
        <v>10</v>
      </c>
      <c r="Z96" s="2"/>
      <c r="AA96" s="2"/>
      <c r="AB96" s="18"/>
      <c r="AC96" s="3" t="s">
        <v>1000</v>
      </c>
    </row>
    <row r="97" spans="1:29" ht="73.95" customHeight="1">
      <c r="A97" s="2"/>
      <c r="B97" s="2"/>
      <c r="C97" s="12" t="s">
        <v>120</v>
      </c>
      <c r="D97" s="2" t="s">
        <v>997</v>
      </c>
      <c r="E97" s="2"/>
      <c r="F97" s="2" t="s">
        <v>1001</v>
      </c>
      <c r="G97" s="3" t="s">
        <v>1002</v>
      </c>
      <c r="H97" s="3"/>
      <c r="I97" s="2">
        <v>0</v>
      </c>
      <c r="J97" s="2" t="s">
        <v>38</v>
      </c>
      <c r="K97" s="13" t="s">
        <v>979</v>
      </c>
      <c r="L97" s="3" t="s">
        <v>1002</v>
      </c>
      <c r="M97" s="3"/>
      <c r="N97" s="3"/>
      <c r="O97" s="14" t="s">
        <v>120</v>
      </c>
      <c r="P97" s="3" t="s">
        <v>997</v>
      </c>
      <c r="Q97" s="3" t="s">
        <v>93</v>
      </c>
      <c r="R97" s="2"/>
      <c r="S97" s="10"/>
      <c r="T97" s="2"/>
      <c r="U97" s="2"/>
      <c r="V97" s="2"/>
      <c r="W97" s="2"/>
      <c r="X97" s="2"/>
      <c r="Y97" s="17">
        <v>10</v>
      </c>
      <c r="Z97" s="2"/>
      <c r="AA97" s="2"/>
      <c r="AB97" s="18"/>
      <c r="AC97" s="3" t="s">
        <v>1000</v>
      </c>
    </row>
    <row r="98" spans="1:29" ht="73.95" customHeight="1">
      <c r="A98" s="2"/>
      <c r="B98" s="2"/>
      <c r="C98" s="12" t="s">
        <v>120</v>
      </c>
      <c r="D98" s="2" t="s">
        <v>997</v>
      </c>
      <c r="E98" s="2"/>
      <c r="F98" s="2" t="s">
        <v>1003</v>
      </c>
      <c r="G98" s="3" t="s">
        <v>1004</v>
      </c>
      <c r="H98" s="3"/>
      <c r="I98" s="2">
        <v>0</v>
      </c>
      <c r="J98" s="2" t="s">
        <v>38</v>
      </c>
      <c r="K98" s="13" t="s">
        <v>979</v>
      </c>
      <c r="L98" s="3" t="s">
        <v>1004</v>
      </c>
      <c r="M98" s="3"/>
      <c r="N98" s="3"/>
      <c r="O98" s="14" t="s">
        <v>120</v>
      </c>
      <c r="P98" s="3" t="s">
        <v>997</v>
      </c>
      <c r="Q98" s="3" t="s">
        <v>93</v>
      </c>
      <c r="R98" s="2"/>
      <c r="S98" s="10"/>
      <c r="T98" s="2"/>
      <c r="U98" s="2"/>
      <c r="V98" s="2"/>
      <c r="W98" s="2"/>
      <c r="X98" s="2"/>
      <c r="Y98" s="17">
        <v>10</v>
      </c>
      <c r="Z98" s="2"/>
      <c r="AA98" s="2"/>
      <c r="AB98" s="18"/>
      <c r="AC98" s="3" t="s">
        <v>1000</v>
      </c>
    </row>
    <row r="99" spans="1:29" ht="73.95" customHeight="1">
      <c r="A99" s="2"/>
      <c r="B99" s="2"/>
      <c r="C99" s="12" t="s">
        <v>120</v>
      </c>
      <c r="D99" s="2" t="s">
        <v>997</v>
      </c>
      <c r="E99" s="2"/>
      <c r="F99" s="2" t="s">
        <v>1005</v>
      </c>
      <c r="G99" s="3" t="s">
        <v>1006</v>
      </c>
      <c r="H99" s="3"/>
      <c r="I99" s="2">
        <v>0</v>
      </c>
      <c r="J99" s="2" t="s">
        <v>38</v>
      </c>
      <c r="K99" s="13" t="s">
        <v>979</v>
      </c>
      <c r="L99" s="3" t="s">
        <v>1006</v>
      </c>
      <c r="M99" s="3"/>
      <c r="N99" s="3"/>
      <c r="O99" s="14" t="s">
        <v>120</v>
      </c>
      <c r="P99" s="3" t="s">
        <v>997</v>
      </c>
      <c r="Q99" s="3" t="s">
        <v>93</v>
      </c>
      <c r="R99" s="2"/>
      <c r="S99" s="10"/>
      <c r="T99" s="2"/>
      <c r="U99" s="2"/>
      <c r="V99" s="2"/>
      <c r="W99" s="2"/>
      <c r="X99" s="2"/>
      <c r="Y99" s="17">
        <v>10</v>
      </c>
      <c r="Z99" s="2"/>
      <c r="AA99" s="2"/>
      <c r="AB99" s="18"/>
      <c r="AC99" s="3" t="s">
        <v>1000</v>
      </c>
    </row>
  </sheetData>
  <mergeCells count="3">
    <mergeCell ref="A1:J1"/>
    <mergeCell ref="K1:Q1"/>
    <mergeCell ref="R1:AC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豪杰 卞</cp:lastModifiedBy>
  <dcterms:modified xsi:type="dcterms:W3CDTF">2026-09-12T12:03:01Z</dcterms:modified>
</cp:coreProperties>
</file>