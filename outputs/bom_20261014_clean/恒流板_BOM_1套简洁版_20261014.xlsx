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9871ccac0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板BOM" sheetId="1" r:id="Rce302687b1d84c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0"/>
      <x:color rgb="FF25313D"/>
      <x:name val="Microsoft YaHei"/>
    </x:font>
    <x:font>
      <x:b/>
      <x:sz val="10"/>
      <x:color rgb="FFFFFFFF"/>
      <x:name val="Microsoft YaHei"/>
    </x:font>
    <x:font>
      <x:b/>
      <x:sz val="10"/>
      <x:color rgb="FF244761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44761"/>
      </x:patternFill>
    </x:fill>
    <x:fill>
      <x:patternFill patternType="solid">
        <x:fgColor rgb="FFFFFFFF"/>
      </x:patternFill>
    </x:fill>
    <x:fill>
      <x:patternFill patternType="solid">
        <x:fgColor rgb="FFF3F6F8"/>
      </x:patternFill>
    </x:fill>
    <x:fill>
      <x:patternFill patternType="solid">
        <x:fgColor rgb="FFE6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201" fontId="1" fillId="4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201" fontId="3" fillId="5" borderId="0" xfId="0" applyNumberFormat="1" applyFont="1" applyFill="1" applyBorder="1" applyAlignment="1">
      <x:alignment vertical="center"/>
    </x:xf>
    <x:xf numFmtId="201" fontId="3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2b228c10c459f" /><Relationship Type="http://schemas.openxmlformats.org/officeDocument/2006/relationships/theme" Target="/xl/theme/theme1.xml" Id="R1534e596c04d4fae" /><Relationship Type="http://schemas.openxmlformats.org/officeDocument/2006/relationships/sharedStrings" Target="/xl/sharedStrings.xml" Id="R98c8c2ff098a4942" /><Relationship Type="http://schemas.openxmlformats.org/officeDocument/2006/relationships/worksheet" Target="/xl/worksheets/sheet1.xml" Id="Rce302687b1d84cae" /></Relationships>
</file>

<file path=xl/tables/table1.xml><?xml version="1.0" encoding="utf-8"?>
<x:table xmlns:x="http://schemas.openxmlformats.org/spreadsheetml/2006/main" id="1" name="AssemblyBOM" displayName="AssemblyBOM" ref="A1:G84" headerRowCount="1" totalsRowCount="0" totalsRowShown="0">
  <x:autoFilter ref="A1:G84"/>
  <x:tableColumns count="7">
    <x:tableColumn id="1" name="名称／规格"/>
    <x:tableColumn id="2" name="型号"/>
    <x:tableColumn id="3" name="封装"/>
    <x:tableColumn id="4" name="品牌"/>
    <x:tableColumn id="5" name="位号"/>
    <x:tableColumn id="6" name="1 套数量"/>
    <x:tableColumn id="7" name="商品编号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ec778d77b84d2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.75" hidden="0" customWidth="1"/>
    <x:col min="2" max="2" width="33.130001068115234" hidden="0" customWidth="1"/>
    <x:col min="3" max="3" width="23.1299991607666" hidden="0" customWidth="1"/>
    <x:col min="4" max="4" width="18.75" hidden="0" customWidth="1"/>
    <x:col min="5" max="5" width="38.130001068115234" hidden="0" customWidth="1"/>
    <x:col min="6" max="6" width="11.880000114440918" hidden="0" customWidth="1"/>
    <x:col min="7" max="7" width="14.380000114440918" hidden="0" customWidth="1"/>
  </x:cols>
  <x:sheetData>
    <x:row r="1" ht="29" customHeight="1">
      <x:c r="A1" s="4" t="str">
        <x:v>名称／规格</x:v>
      </x:c>
      <x:c r="B1" s="4" t="str">
        <x:v>型号</x:v>
      </x:c>
      <x:c r="C1" s="4" t="str">
        <x:v>封装</x:v>
      </x:c>
      <x:c r="D1" s="4" t="str">
        <x:v>品牌</x:v>
      </x:c>
      <x:c r="E1" s="4" t="str">
        <x:v>位号</x:v>
      </x:c>
      <x:c r="F1" s="4" t="str">
        <x:v>1 套数量</x:v>
      </x:c>
      <x:c r="G1" s="4" t="str">
        <x:v>商品编号</x:v>
      </x:c>
    </x:row>
    <x:row r="2" ht="29" customHeight="1">
      <x:c r="A2" s="11" t="str">
        <x:v>XT60PW-M</x:v>
      </x:c>
      <x:c r="B2" s="12" t="str">
        <x:v>XT60PW-M</x:v>
      </x:c>
      <x:c r="C2" s="12" t="str">
        <x:v>CONN-TH_XT60PW-M</x:v>
      </x:c>
      <x:c r="D2" s="12" t="str">
        <x:v>AMASS(艾迈斯)</x:v>
      </x:c>
      <x:c r="E2" s="12" t="str">
        <x:v>CN2, CN1</x:v>
      </x:c>
      <x:c r="F2" s="13" t="n">
        <x:v>2</x:v>
      </x:c>
      <x:c r="G2" s="14" t="str">
        <x:v>C98732</x:v>
      </x:c>
    </x:row>
    <x:row r="3" ht="60" customHeight="1">
      <x:c r="A3" s="15" t="str">
        <x:v>10uF ±10% 100V</x:v>
      </x:c>
      <x:c r="B3" s="16" t="str">
        <x:v>FS32X106K101EGG</x:v>
      </x:c>
      <x:c r="C3" s="16" t="str">
        <x:v>1210（英制）</x:v>
      </x:c>
      <x:c r="D3" s="16" t="str">
        <x:v>PSA(信昌电陶)</x:v>
      </x:c>
      <x:c r="E3" s="16" t="str">
        <x:v>C3, C4, C10, C11, C12, C13, C14, C15, C16, C19, C20, C36, C43, C29, C23, C80, C81, C82, C83, C63, C64, C96, C97</x:v>
      </x:c>
      <x:c r="F3" s="17" t="n">
        <x:v>23</x:v>
      </x:c>
      <x:c r="G3" s="18" t="str">
        <x:v>C5156756</x:v>
      </x:c>
    </x:row>
    <x:row r="4" ht="29" customHeight="1">
      <x:c r="A4" s="11" t="str">
        <x:v>SMCJ36CA</x:v>
      </x:c>
      <x:c r="B4" s="12" t="str">
        <x:v>SMCJ36CA</x:v>
      </x:c>
      <x:c r="C4" s="12" t="str">
        <x:v>SMC(DO-214AB)</x:v>
      </x:c>
      <x:c r="D4" s="12" t="str">
        <x:v>R+O(宏嘉诚)</x:v>
      </x:c>
      <x:c r="E4" s="12" t="str">
        <x:v>D6</x:v>
      </x:c>
      <x:c r="F4" s="13" t="n">
        <x:v>1</x:v>
      </x:c>
      <x:c r="G4" s="14" t="str">
        <x:v>C19077609</x:v>
      </x:c>
    </x:row>
    <x:row r="5" ht="29" customHeight="1">
      <x:c r="A5" s="15" t="str">
        <x:v>300mΩ ±1% 3W</x:v>
      </x:c>
      <x:c r="B5" s="16" t="str">
        <x:v>HoYLR2512-3W-300mR-1%</x:v>
      </x:c>
      <x:c r="C5" s="16" t="str">
        <x:v>2512（英制）</x:v>
      </x:c>
      <x:c r="D5" s="16" t="str">
        <x:v>Milliohm(毫欧)</x:v>
      </x:c>
      <x:c r="E5" s="16" t="str">
        <x:v>R6, R17</x:v>
      </x:c>
      <x:c r="F5" s="17" t="n">
        <x:v>2</x:v>
      </x:c>
      <x:c r="G5" s="18" t="str">
        <x:v>C5375492</x:v>
      </x:c>
    </x:row>
    <x:row r="6" ht="29" customHeight="1">
      <x:c r="A6" s="11" t="str">
        <x:v>100uF ±20% 63V</x:v>
      </x:c>
      <x:c r="B6" s="12" t="str">
        <x:v>RVT63V100M10X10</x:v>
      </x:c>
      <x:c r="C6" s="12" t="str">
        <x:v>SMD,D10xL10.5mm</x:v>
      </x:c>
      <x:c r="D6" s="12" t="str">
        <x:v>JIERR(捷而瑞)</x:v>
      </x:c>
      <x:c r="E6" s="12" t="str">
        <x:v>C5, C9</x:v>
      </x:c>
      <x:c r="F6" s="13" t="n">
        <x:v>2</x:v>
      </x:c>
      <x:c r="G6" s="14" t="str">
        <x:v>C51953411</x:v>
      </x:c>
    </x:row>
    <x:row r="7" ht="29" customHeight="1">
      <x:c r="A7" s="15" t="str">
        <x:v>厚膜电阻 100kΩ ±1% 125mW</x:v>
      </x:c>
      <x:c r="B7" s="16" t="str">
        <x:v>0805W8F1003T5E</x:v>
      </x:c>
      <x:c r="C7" s="16" t="str">
        <x:v>0805（英制）</x:v>
      </x:c>
      <x:c r="D7" s="16" t="str">
        <x:v>UNI-ROYAL(厚声)</x:v>
      </x:c>
      <x:c r="E7" s="16" t="str">
        <x:v>R8, R28, R15, R7</x:v>
      </x:c>
      <x:c r="F7" s="17" t="n">
        <x:v>4</x:v>
      </x:c>
      <x:c r="G7" s="18" t="str">
        <x:v>C149504</x:v>
      </x:c>
    </x:row>
    <x:row r="8" ht="29" customHeight="1">
      <x:c r="A8" s="11" t="str">
        <x:v>厚膜电阻 1kΩ ±1% 125mW</x:v>
      </x:c>
      <x:c r="B8" s="12" t="str">
        <x:v>0805W8F1001T5E</x:v>
      </x:c>
      <x:c r="C8" s="12" t="str">
        <x:v>0805（英制）</x:v>
      </x:c>
      <x:c r="D8" s="12" t="str">
        <x:v>UNI-ROYAL(厚声)</x:v>
      </x:c>
      <x:c r="E8" s="12" t="str">
        <x:v>R9, R45, R11, R18</x:v>
      </x:c>
      <x:c r="F8" s="13" t="n">
        <x:v>4</x:v>
      </x:c>
      <x:c r="G8" s="14" t="str">
        <x:v>C17513</x:v>
      </x:c>
    </x:row>
    <x:row r="9" ht="60" customHeight="1">
      <x:c r="A9" s="15" t="str">
        <x:v>100nF ±10% 50V</x:v>
      </x:c>
      <x:c r="B9" s="16" t="str">
        <x:v>CC0603KRX7R9BB104</x:v>
      </x:c>
      <x:c r="C9" s="16" t="str">
        <x:v>0603（英制）</x:v>
      </x:c>
      <x:c r="D9" s="16" t="str">
        <x:v>YAGEO(国巨)</x:v>
      </x:c>
      <x:c r="E9" s="16" t="str">
        <x:v>C6, C7, C56, C55, C57, C32, C33, C50, C45, C46, C26, C106, C51, C40, C61, C78, C58, C41, C54, C52, C70, C62</x:v>
      </x:c>
      <x:c r="F9" s="17" t="n">
        <x:v>22</x:v>
      </x:c>
      <x:c r="G9" s="18" t="str">
        <x:v>C14663</x:v>
      </x:c>
    </x:row>
    <x:row r="10" ht="29" customHeight="1">
      <x:c r="A10" s="11" t="str">
        <x:v>1nF ±10% 50V</x:v>
      </x:c>
      <x:c r="B10" s="12" t="str">
        <x:v>CC0603KRX7R9BB102</x:v>
      </x:c>
      <x:c r="C10" s="12" t="str">
        <x:v>0603（英制）</x:v>
      </x:c>
      <x:c r="D10" s="12" t="str">
        <x:v>YAGEO(国巨)</x:v>
      </x:c>
      <x:c r="E10" s="12" t="str">
        <x:v>C8, C60</x:v>
      </x:c>
      <x:c r="F10" s="13" t="n">
        <x:v>2</x:v>
      </x:c>
      <x:c r="G10" s="14" t="str">
        <x:v>C100040</x:v>
      </x:c>
    </x:row>
    <x:row r="11" ht="29" customHeight="1">
      <x:c r="A11" s="15" t="str">
        <x:v>BZT52C12</x:v>
      </x:c>
      <x:c r="B11" s="16" t="str">
        <x:v>BZT52C12</x:v>
      </x:c>
      <x:c r="C11" s="16" t="str">
        <x:v>SOD-123</x:v>
      </x:c>
      <x:c r="D11" s="16" t="str">
        <x:v>R+O(宏嘉诚)</x:v>
      </x:c>
      <x:c r="E11" s="16" t="str">
        <x:v>D7, D8</x:v>
      </x:c>
      <x:c r="F11" s="17" t="n">
        <x:v>2</x:v>
      </x:c>
      <x:c r="G11" s="18" t="str">
        <x:v>C19077410</x:v>
      </x:c>
    </x:row>
    <x:row r="12" ht="29" customHeight="1">
      <x:c r="A12" s="11" t="str">
        <x:v>BZT52C43</x:v>
      </x:c>
      <x:c r="B12" s="12" t="str">
        <x:v>BZT52C43</x:v>
      </x:c>
      <x:c r="C12" s="12" t="str">
        <x:v>SOD-123</x:v>
      </x:c>
      <x:c r="D12" s="12" t="str">
        <x:v>R+O(宏嘉诚)</x:v>
      </x:c>
      <x:c r="E12" s="12" t="str">
        <x:v>U7</x:v>
      </x:c>
      <x:c r="F12" s="13" t="n">
        <x:v>1</x:v>
      </x:c>
      <x:c r="G12" s="14" t="str">
        <x:v>C22395571</x:v>
      </x:c>
    </x:row>
    <x:row r="13" ht="29" customHeight="1">
      <x:c r="A13" s="15" t="str">
        <x:v>MMBT5401LT1G</x:v>
      </x:c>
      <x:c r="B13" s="16" t="str">
        <x:v>MMBT5401LT1G</x:v>
      </x:c>
      <x:c r="C13" s="16" t="str">
        <x:v>SOT-23</x:v>
      </x:c>
      <x:c r="D13" s="16" t="str">
        <x:v>onsemi(安森美)</x:v>
      </x:c>
      <x:c r="E13" s="16" t="str">
        <x:v>Q11</x:v>
      </x:c>
      <x:c r="F13" s="17" t="n">
        <x:v>1</x:v>
      </x:c>
      <x:c r="G13" s="18" t="str">
        <x:v>C21488</x:v>
      </x:c>
    </x:row>
    <x:row r="14" ht="29" customHeight="1">
      <x:c r="A14" s="11" t="str">
        <x:v>SUM110P08-11L-E3</x:v>
      </x:c>
      <x:c r="B14" s="12" t="str">
        <x:v>SUM110P08-11L-E3</x:v>
      </x:c>
      <x:c r="C14" s="12" t="str">
        <x:v>TO-263(D2PAK)</x:v>
      </x:c>
      <x:c r="D14" s="12" t="str">
        <x:v>VISHAY(威世)</x:v>
      </x:c>
      <x:c r="E14" s="12" t="str">
        <x:v>Q12, Q3</x:v>
      </x:c>
      <x:c r="F14" s="13" t="n">
        <x:v>2</x:v>
      </x:c>
      <x:c r="G14" s="14" t="str">
        <x:v>C2838509</x:v>
      </x:c>
    </x:row>
    <x:row r="15" ht="29" customHeight="1">
      <x:c r="A15" s="15" t="str">
        <x:v>厚膜电阻 22kΩ ±1% 100mW</x:v>
      </x:c>
      <x:c r="B15" s="16" t="str">
        <x:v>FRC0603F2202TS</x:v>
      </x:c>
      <x:c r="C15" s="16" t="str">
        <x:v>0603（英制）</x:v>
      </x:c>
      <x:c r="D15" s="16" t="str">
        <x:v>FOJAN(富捷)</x:v>
      </x:c>
      <x:c r="E15" s="16" t="str">
        <x:v>R20</x:v>
      </x:c>
      <x:c r="F15" s="17" t="n">
        <x:v>1</x:v>
      </x:c>
      <x:c r="G15" s="18" t="str">
        <x:v>C2907015</x:v>
      </x:c>
    </x:row>
    <x:row r="16" ht="29" customHeight="1">
      <x:c r="A16" s="11" t="str">
        <x:v>220uF ±20% 63V</x:v>
      </x:c>
      <x:c r="B16" s="12" t="str">
        <x:v>PA63V220M10x15</x:v>
      </x:c>
      <x:c r="C16" s="12" t="str">
        <x:v>插件,D10xL15mm</x:v>
      </x:c>
      <x:c r="D16" s="12" t="str">
        <x:v>JIERR(捷而瑞)</x:v>
      </x:c>
      <x:c r="E16" s="12" t="str">
        <x:v>C17, C18</x:v>
      </x:c>
      <x:c r="F16" s="13" t="n">
        <x:v>2</x:v>
      </x:c>
      <x:c r="G16" s="14" t="str">
        <x:v>C46550454</x:v>
      </x:c>
    </x:row>
    <x:row r="17" ht="29" customHeight="1">
      <x:c r="A17" s="15" t="str">
        <x:v>NCD0603R1</x:v>
      </x:c>
      <x:c r="B17" s="16" t="str">
        <x:v>NCD0603R1</x:v>
      </x:c>
      <x:c r="C17" s="16" t="str">
        <x:v>0603（英制）</x:v>
      </x:c>
      <x:c r="D17" s="16" t="str">
        <x:v>国星光电</x:v>
      </x:c>
      <x:c r="E17" s="16" t="str">
        <x:v>L1, L5, L3, L4</x:v>
      </x:c>
      <x:c r="F17" s="17" t="n">
        <x:v>4</x:v>
      </x:c>
      <x:c r="G17" s="18" t="str">
        <x:v>C84263</x:v>
      </x:c>
    </x:row>
    <x:row r="18" ht="29" customHeight="1">
      <x:c r="A18" s="11" t="str">
        <x:v>BSC014N06NS</x:v>
      </x:c>
      <x:c r="B18" s="12" t="str">
        <x:v>BSC014N06NS</x:v>
      </x:c>
      <x:c r="C18" s="12" t="str">
        <x:v>TDSON-8-FL</x:v>
      </x:c>
      <x:c r="D18" s="12" t="str">
        <x:v>Infineon(英飞凌)</x:v>
      </x:c>
      <x:c r="E18" s="12" t="str">
        <x:v>Q4</x:v>
      </x:c>
      <x:c r="F18" s="13" t="n">
        <x:v>1</x:v>
      </x:c>
      <x:c r="G18" s="14" t="str">
        <x:v>C113391</x:v>
      </x:c>
    </x:row>
    <x:row r="19" ht="29" customHeight="1">
      <x:c r="A19" s="15" t="str">
        <x:v>STM32G431RBT6</x:v>
      </x:c>
      <x:c r="B19" s="16" t="str">
        <x:v>STM32G431RBT6</x:v>
      </x:c>
      <x:c r="C19" s="16" t="str">
        <x:v>LQFP-64(10x10)</x:v>
      </x:c>
      <x:c r="D19" s="16" t="str">
        <x:v>ST(意法半导体)</x:v>
      </x:c>
      <x:c r="E19" s="16" t="str">
        <x:v>U2</x:v>
      </x:c>
      <x:c r="F19" s="17" t="n">
        <x:v>1</x:v>
      </x:c>
      <x:c r="G19" s="18" t="str">
        <x:v>C431633</x:v>
      </x:c>
    </x:row>
    <x:row r="20" ht="29" customHeight="1">
      <x:c r="A20" s="11" t="str">
        <x:v>33pF ±1% 50V</x:v>
      </x:c>
      <x:c r="B20" s="12" t="str">
        <x:v>CC0603FRNPO9BN330</x:v>
      </x:c>
      <x:c r="C20" s="12" t="str">
        <x:v>0603（英制）</x:v>
      </x:c>
      <x:c r="D20" s="12" t="str">
        <x:v>YAGEO(国巨)</x:v>
      </x:c>
      <x:c r="E20" s="12" t="str">
        <x:v>C35, C34</x:v>
      </x:c>
      <x:c r="F20" s="13" t="n">
        <x:v>2</x:v>
      </x:c>
      <x:c r="G20" s="14" t="str">
        <x:v>C519485</x:v>
      </x:c>
    </x:row>
    <x:row r="21" ht="29" customHeight="1">
      <x:c r="A21" s="15" t="str">
        <x:v>56pF ±5% 50V</x:v>
      </x:c>
      <x:c r="B21" s="16" t="str">
        <x:v>CC0603JRNPO9BN560</x:v>
      </x:c>
      <x:c r="C21" s="16" t="str">
        <x:v>0603（英制）</x:v>
      </x:c>
      <x:c r="D21" s="16" t="str">
        <x:v>YAGEO(国巨)</x:v>
      </x:c>
      <x:c r="E21" s="16" t="str">
        <x:v>C25</x:v>
      </x:c>
      <x:c r="F21" s="17" t="n">
        <x:v>1</x:v>
      </x:c>
      <x:c r="G21" s="18" t="str">
        <x:v>C107053</x:v>
      </x:c>
    </x:row>
    <x:row r="22" ht="29" customHeight="1">
      <x:c r="A22" s="11" t="str">
        <x:v>3.3nF ±10% 50V</x:v>
      </x:c>
      <x:c r="B22" s="12" t="str">
        <x:v>CL10B332KB8NNNC</x:v>
      </x:c>
      <x:c r="C22" s="12" t="str">
        <x:v>0603（英制）</x:v>
      </x:c>
      <x:c r="D22" s="12" t="str">
        <x:v>SAMSUNG(三星)</x:v>
      </x:c>
      <x:c r="E22" s="12" t="str">
        <x:v>C22</x:v>
      </x:c>
      <x:c r="F22" s="13" t="n">
        <x:v>1</x:v>
      </x:c>
      <x:c r="G22" s="14" t="str">
        <x:v>C1613</x:v>
      </x:c>
    </x:row>
    <x:row r="23" ht="29" customHeight="1">
      <x:c r="A23" s="15" t="str">
        <x:v>2.2nF ±5% 50V</x:v>
      </x:c>
      <x:c r="B23" s="16" t="str">
        <x:v>CL10C222JB8NNNC</x:v>
      </x:c>
      <x:c r="C23" s="16" t="str">
        <x:v>0603（英制）</x:v>
      </x:c>
      <x:c r="D23" s="16" t="str">
        <x:v>SAMSUNG(三星)</x:v>
      </x:c>
      <x:c r="E23" s="16" t="str">
        <x:v>C21</x:v>
      </x:c>
      <x:c r="F23" s="17" t="n">
        <x:v>1</x:v>
      </x:c>
      <x:c r="G23" s="18" t="str">
        <x:v>C33353</x:v>
      </x:c>
    </x:row>
    <x:row r="24" ht="29" customHeight="1">
      <x:c r="A24" s="11" t="str">
        <x:v>XC6210B332MR</x:v>
      </x:c>
      <x:c r="B24" s="12" t="str">
        <x:v>XC6210B332MR</x:v>
      </x:c>
      <x:c r="C24" s="12" t="str">
        <x:v>SOT-25</x:v>
      </x:c>
      <x:c r="D24" s="12" t="str">
        <x:v>TOREX(特瑞仕)</x:v>
      </x:c>
      <x:c r="E24" s="12" t="str">
        <x:v>U3</x:v>
      </x:c>
      <x:c r="F24" s="13" t="n">
        <x:v>1</x:v>
      </x:c>
      <x:c r="G24" s="14" t="str">
        <x:v>C424705</x:v>
      </x:c>
    </x:row>
    <x:row r="25" ht="29" customHeight="1">
      <x:c r="A25" s="15" t="str">
        <x:v>厚膜电阻 1kΩ ±1% 100mW</x:v>
      </x:c>
      <x:c r="B25" s="16" t="str">
        <x:v>FRC0603F1001TS</x:v>
      </x:c>
      <x:c r="C25" s="16" t="str">
        <x:v>0603（英制）</x:v>
      </x:c>
      <x:c r="D25" s="16" t="str">
        <x:v>FOJAN(富捷)</x:v>
      </x:c>
      <x:c r="E25" s="16" t="str">
        <x:v>R26, R14, R60, R59, R40</x:v>
      </x:c>
      <x:c r="F25" s="17" t="n">
        <x:v>5</x:v>
      </x:c>
      <x:c r="G25" s="18" t="str">
        <x:v>C2907002</x:v>
      </x:c>
    </x:row>
    <x:row r="26" ht="29" customHeight="1">
      <x:c r="A26" s="11" t="str">
        <x:v>厚膜电阻 0Ω ±1% 100mW</x:v>
      </x:c>
      <x:c r="B26" s="12" t="str">
        <x:v>0603WAF0000T5E</x:v>
      </x:c>
      <x:c r="C26" s="12" t="str">
        <x:v>0603（英制）</x:v>
      </x:c>
      <x:c r="D26" s="12" t="str">
        <x:v>UNI-ROYAL(厚声)</x:v>
      </x:c>
      <x:c r="E26" s="12" t="str">
        <x:v>R34, R33, R27</x:v>
      </x:c>
      <x:c r="F26" s="13" t="n">
        <x:v>3</x:v>
      </x:c>
      <x:c r="G26" s="14" t="str">
        <x:v>C21189</x:v>
      </x:c>
    </x:row>
    <x:row r="27" ht="43" customHeight="1">
      <x:c r="A27" s="15" t="str">
        <x:v>厚膜电阻 10kΩ ±1% 100mW</x:v>
      </x:c>
      <x:c r="B27" s="16" t="str">
        <x:v>FRC0603F1002TS</x:v>
      </x:c>
      <x:c r="C27" s="16" t="str">
        <x:v>0603（英制）</x:v>
      </x:c>
      <x:c r="D27" s="16" t="str">
        <x:v>FOJAN(富捷)</x:v>
      </x:c>
      <x:c r="E27" s="16" t="str">
        <x:v>R25, R38, R31, R67, R61, R62, R63, R41, R2</x:v>
      </x:c>
      <x:c r="F27" s="17" t="n">
        <x:v>9</x:v>
      </x:c>
      <x:c r="G27" s="18" t="str">
        <x:v>C2906982</x:v>
      </x:c>
    </x:row>
    <x:row r="28" ht="29" customHeight="1">
      <x:c r="A28" s="11" t="str">
        <x:v>厚膜电阻 12kΩ ±1% 100mW</x:v>
      </x:c>
      <x:c r="B28" s="12" t="str">
        <x:v>0603WAF1202T5E</x:v>
      </x:c>
      <x:c r="C28" s="12" t="str">
        <x:v>0603（英制）</x:v>
      </x:c>
      <x:c r="D28" s="12" t="str">
        <x:v>UNI-ROYAL(厚声)</x:v>
      </x:c>
      <x:c r="E28" s="12" t="str">
        <x:v>R39, R32, R5, R46, R51</x:v>
      </x:c>
      <x:c r="F28" s="13" t="n">
        <x:v>5</x:v>
      </x:c>
      <x:c r="G28" s="14" t="str">
        <x:v>C22790</x:v>
      </x:c>
    </x:row>
    <x:row r="29" ht="29" customHeight="1">
      <x:c r="A29" s="15" t="str">
        <x:v>厚膜电阻 62kΩ ±1% 100mW</x:v>
      </x:c>
      <x:c r="B29" s="16" t="str">
        <x:v>0603WAF6202T5E</x:v>
      </x:c>
      <x:c r="C29" s="16" t="str">
        <x:v>0603（英制）</x:v>
      </x:c>
      <x:c r="D29" s="16" t="str">
        <x:v>UNI-ROYAL(厚声)</x:v>
      </x:c>
      <x:c r="E29" s="16" t="str">
        <x:v>R36</x:v>
      </x:c>
      <x:c r="F29" s="17" t="n">
        <x:v>1</x:v>
      </x:c>
      <x:c r="G29" s="18" t="str">
        <x:v>C23221</x:v>
      </x:c>
    </x:row>
    <x:row r="30" ht="29" customHeight="1">
      <x:c r="A30" s="11" t="str">
        <x:v>JW5026</x:v>
      </x:c>
      <x:c r="B30" s="12" t="str">
        <x:v>JW5026</x:v>
      </x:c>
      <x:c r="C30" s="12" t="str">
        <x:v>SOT-23-6</x:v>
      </x:c>
      <x:c r="D30" s="12" t="str">
        <x:v>Joulwatt(杰华特)</x:v>
      </x:c>
      <x:c r="E30" s="12" t="str">
        <x:v>U5</x:v>
      </x:c>
      <x:c r="F30" s="13" t="n">
        <x:v>1</x:v>
      </x:c>
      <x:c r="G30" s="14" t="str">
        <x:v>C185109</x:v>
      </x:c>
    </x:row>
    <x:row r="31" ht="43" customHeight="1">
      <x:c r="A31" s="15" t="str">
        <x:v>4.7uH</x:v>
      </x:c>
      <x:c r="B31" s="16" t="str">
        <x:v>MPIH252010-4R7M-LF</x:v>
      </x:c>
      <x:c r="C31" s="16" t="str">
        <x:v>1008（英制）</x:v>
      </x:c>
      <x:c r="D31" s="16" t="str">
        <x:v>microgate(麦捷科技)</x:v>
      </x:c>
      <x:c r="E31" s="16" t="str">
        <x:v>L7</x:v>
      </x:c>
      <x:c r="F31" s="17" t="n">
        <x:v>1</x:v>
      </x:c>
      <x:c r="G31" s="18" t="str">
        <x:v>C490449</x:v>
      </x:c>
    </x:row>
    <x:row r="32" ht="29" customHeight="1">
      <x:c r="A32" s="11" t="str">
        <x:v>CYA0650-68UH</x:v>
      </x:c>
      <x:c r="B32" s="12" t="str">
        <x:v>CYA0650-68UH</x:v>
      </x:c>
      <x:c r="C32" s="12" t="str">
        <x:v>SMD,7.2x6.6mm</x:v>
      </x:c>
      <x:c r="D32" s="12" t="str">
        <x:v>SHOU HAN(首韩)</x:v>
      </x:c>
      <x:c r="E32" s="12" t="str">
        <x:v>L2</x:v>
      </x:c>
      <x:c r="F32" s="13" t="n">
        <x:v>1</x:v>
      </x:c>
      <x:c r="G32" s="14" t="str">
        <x:v>C5189964</x:v>
      </x:c>
    </x:row>
    <x:row r="33" ht="29" customHeight="1">
      <x:c r="A33" s="15" t="str">
        <x:v>厚膜电阻 49.9kΩ ±1% 100mW</x:v>
      </x:c>
      <x:c r="B33" s="16" t="str">
        <x:v>0603WAF4992T5E</x:v>
      </x:c>
      <x:c r="C33" s="16" t="str">
        <x:v>0603（英制）</x:v>
      </x:c>
      <x:c r="D33" s="16" t="str">
        <x:v>UNI-ROYAL(厚声)</x:v>
      </x:c>
      <x:c r="E33" s="16" t="str">
        <x:v>R29</x:v>
      </x:c>
      <x:c r="F33" s="17" t="n">
        <x:v>1</x:v>
      </x:c>
      <x:c r="G33" s="18" t="str">
        <x:v>C23184</x:v>
      </x:c>
    </x:row>
    <x:row r="34" ht="29" customHeight="1">
      <x:c r="A34" s="11" t="str">
        <x:v>厚膜电阻 453kΩ ±1% 100mW</x:v>
      </x:c>
      <x:c r="B34" s="12" t="str">
        <x:v>FRC0603F4533TS</x:v>
      </x:c>
      <x:c r="C34" s="12" t="str">
        <x:v>0603（英制）</x:v>
      </x:c>
      <x:c r="D34" s="12" t="str">
        <x:v>FOJAN(富捷)</x:v>
      </x:c>
      <x:c r="E34" s="12" t="str">
        <x:v>R16, R13</x:v>
      </x:c>
      <x:c r="F34" s="13" t="n">
        <x:v>2</x:v>
      </x:c>
      <x:c r="G34" s="14" t="str">
        <x:v>C3013202</x:v>
      </x:c>
    </x:row>
    <x:row r="35" ht="43" customHeight="1">
      <x:c r="A35" s="15" t="str">
        <x:v>10uF ±10% 50V</x:v>
      </x:c>
      <x:c r="B35" s="16" t="str">
        <x:v>CGA0805X5R106K500MT</x:v>
      </x:c>
      <x:c r="C35" s="16" t="str">
        <x:v>0805（英制）</x:v>
      </x:c>
      <x:c r="D35" s="16" t="str">
        <x:v>HRE(芯声)</x:v>
      </x:c>
      <x:c r="E35" s="16" t="str">
        <x:v>C28, C27, C37, C38, C39, C66, C67, C68, C44</x:v>
      </x:c>
      <x:c r="F35" s="17" t="n">
        <x:v>9</x:v>
      </x:c>
      <x:c r="G35" s="18" t="str">
        <x:v>C6119889</x:v>
      </x:c>
    </x:row>
    <x:row r="36" ht="29" customHeight="1">
      <x:c r="A36" s="11" t="str">
        <x:v>1uF</x:v>
      </x:c>
      <x:c r="B36" s="12" t="str">
        <x:v>CGA0603X5R105K500JT</x:v>
      </x:c>
      <x:c r="C36" s="12" t="str">
        <x:v>C0603</x:v>
      </x:c>
      <x:c r="D36" s="12" t="str">
        <x:v>HRE(芯声)</x:v>
      </x:c>
      <x:c r="E36" s="12" t="str">
        <x:v>C1, C77, C53, C69, C30, C31, C88, C89</x:v>
      </x:c>
      <x:c r="F36" s="13" t="n">
        <x:v>8</x:v>
      </x:c>
      <x:c r="G36" s="14" t="str">
        <x:v>C6119852</x:v>
      </x:c>
    </x:row>
    <x:row r="37" ht="29" customHeight="1">
      <x:c r="A37" s="15" t="str">
        <x:v>LM5164DDAR</x:v>
      </x:c>
      <x:c r="B37" s="16" t="str">
        <x:v>LM5164DDAR</x:v>
      </x:c>
      <x:c r="C37" s="16" t="str">
        <x:v>SO-8-EP</x:v>
      </x:c>
      <x:c r="D37" s="16" t="str">
        <x:v>TI(德州仪器)</x:v>
      </x:c>
      <x:c r="E37" s="16" t="str">
        <x:v>U6</x:v>
      </x:c>
      <x:c r="F37" s="17" t="n">
        <x:v>1</x:v>
      </x:c>
      <x:c r="G37" s="18" t="str">
        <x:v>C477928</x:v>
      </x:c>
    </x:row>
    <x:row r="38" ht="29" customHeight="1">
      <x:c r="A38" s="11" t="str">
        <x:v>100nF ±10% 100V</x:v>
      </x:c>
      <x:c r="B38" s="12" t="str">
        <x:v>CL10B104KC8NNNC</x:v>
      </x:c>
      <x:c r="C38" s="12" t="str">
        <x:v>0603（英制）</x:v>
      </x:c>
      <x:c r="D38" s="12" t="str">
        <x:v>SAMSUNG(三星)</x:v>
      </x:c>
      <x:c r="E38" s="12" t="str">
        <x:v>C24, C71</x:v>
      </x:c>
      <x:c r="F38" s="13" t="n">
        <x:v>2</x:v>
      </x:c>
      <x:c r="G38" s="14" t="str">
        <x:v>C15725</x:v>
      </x:c>
    </x:row>
    <x:row r="39" ht="29" customHeight="1">
      <x:c r="A39" s="15" t="str">
        <x:v>LP5907QMFX-3.3Q1</x:v>
      </x:c>
      <x:c r="B39" s="16" t="str">
        <x:v>LP5907QMFX-3.3Q1</x:v>
      </x:c>
      <x:c r="C39" s="16" t="str">
        <x:v>SOT-23-5</x:v>
      </x:c>
      <x:c r="D39" s="16" t="str">
        <x:v>TI(德州仪器)</x:v>
      </x:c>
      <x:c r="E39" s="16" t="str">
        <x:v>U4</x:v>
      </x:c>
      <x:c r="F39" s="17" t="n">
        <x:v>1</x:v>
      </x:c>
      <x:c r="G39" s="18" t="str">
        <x:v>C130005</x:v>
      </x:c>
    </x:row>
    <x:row r="40" ht="29" customHeight="1">
      <x:c r="A40" s="11" t="str">
        <x:v>TS-KG02S</x:v>
      </x:c>
      <x:c r="B40" s="12" t="str">
        <x:v>TS-KG02S</x:v>
      </x:c>
      <x:c r="C40" s="12" t="str">
        <x:v>SMD-4P,6x6mm</x:v>
      </x:c>
      <x:c r="D40" s="12" t="str">
        <x:v>HANBO(汉博)</x:v>
      </x:c>
      <x:c r="E40" s="12" t="str">
        <x:v>K1, K2</x:v>
      </x:c>
      <x:c r="F40" s="13" t="n">
        <x:v>2</x:v>
      </x:c>
      <x:c r="G40" s="14" t="str">
        <x:v>C410366</x:v>
      </x:c>
    </x:row>
    <x:row r="41" ht="29" customHeight="1">
      <x:c r="A41" s="15" t="str">
        <x:v>NCD0603G1</x:v>
      </x:c>
      <x:c r="B41" s="16" t="str">
        <x:v>NCD0603G1</x:v>
      </x:c>
      <x:c r="C41" s="16" t="str">
        <x:v>0603（英制）</x:v>
      </x:c>
      <x:c r="D41" s="16" t="str">
        <x:v>国星光电</x:v>
      </x:c>
      <x:c r="E41" s="16" t="str">
        <x:v>L10</x:v>
      </x:c>
      <x:c r="F41" s="17" t="n">
        <x:v>1</x:v>
      </x:c>
      <x:c r="G41" s="18" t="str">
        <x:v>C84267</x:v>
      </x:c>
    </x:row>
    <x:row r="42" ht="29" customHeight="1">
      <x:c r="A42" s="11" t="str">
        <x:v>WAFER-GH1.25-7PWB</x:v>
      </x:c>
      <x:c r="B42" s="12" t="str">
        <x:v>WAFER-GH1.25-7PWB</x:v>
      </x:c>
      <x:c r="C42" s="12" t="str">
        <x:v>SMD,P=1.25mm,卧贴</x:v>
      </x:c>
      <x:c r="D42" s="12" t="str">
        <x:v>XUNPU(讯普)</x:v>
      </x:c>
      <x:c r="E42" s="12" t="str">
        <x:v>CN9</x:v>
      </x:c>
      <x:c r="F42" s="13" t="n">
        <x:v>1</x:v>
      </x:c>
      <x:c r="G42" s="14" t="str">
        <x:v>C3029382</x:v>
      </x:c>
    </x:row>
    <x:row r="43" ht="43" customHeight="1">
      <x:c r="A43" s="15" t="str">
        <x:v>厚膜电阻 22Ω ±1% 100mW</x:v>
      </x:c>
      <x:c r="B43" s="16" t="str">
        <x:v>FRC0603F22R0TS</x:v>
      </x:c>
      <x:c r="C43" s="16" t="str">
        <x:v>0603（英制）</x:v>
      </x:c>
      <x:c r="D43" s="16" t="str">
        <x:v>FOJAN(富捷)</x:v>
      </x:c>
      <x:c r="E43" s="16" t="str">
        <x:v>R50, R64, R65, R66, R35, R44, R54, R68, R69</x:v>
      </x:c>
      <x:c r="F43" s="17" t="n">
        <x:v>9</x:v>
      </x:c>
      <x:c r="G43" s="18" t="str">
        <x:v>C2930077</x:v>
      </x:c>
    </x:row>
    <x:row r="44" ht="29" customHeight="1">
      <x:c r="A44" s="11" t="str">
        <x:v>ESD9B5.0ST5G</x:v>
      </x:c>
      <x:c r="B44" s="12" t="str">
        <x:v>ESD9B5.0ST5G</x:v>
      </x:c>
      <x:c r="C44" s="12" t="str">
        <x:v>SOD-923</x:v>
      </x:c>
      <x:c r="D44" s="12" t="str">
        <x:v>onsemi(安森美)</x:v>
      </x:c>
      <x:c r="E44" s="12" t="str">
        <x:v>D1, D2, D3, D4, D11</x:v>
      </x:c>
      <x:c r="F44" s="13" t="n">
        <x:v>5</x:v>
      </x:c>
      <x:c r="G44" s="14" t="str">
        <x:v>C111566</x:v>
      </x:c>
    </x:row>
    <x:row r="45" ht="29" customHeight="1">
      <x:c r="A45" s="15" t="str">
        <x:v>薄膜电阻 10kΩ ±0.1% 125mW</x:v>
      </x:c>
      <x:c r="B45" s="16" t="str">
        <x:v>RT0805BRD0710KL</x:v>
      </x:c>
      <x:c r="C45" s="16" t="str">
        <x:v>0805（英制）</x:v>
      </x:c>
      <x:c r="D45" s="16" t="str">
        <x:v>YAGEO(国巨)</x:v>
      </x:c>
      <x:c r="E45" s="16" t="str">
        <x:v>R10</x:v>
      </x:c>
      <x:c r="F45" s="17" t="n">
        <x:v>1</x:v>
      </x:c>
      <x:c r="G45" s="18" t="str">
        <x:v>C110775</x:v>
      </x:c>
    </x:row>
    <x:row r="46" ht="29" customHeight="1">
      <x:c r="A46" s="11" t="str">
        <x:v>厚膜电阻 220Ω ±1% 100mW</x:v>
      </x:c>
      <x:c r="B46" s="12" t="str">
        <x:v>0603WAF2200T5E</x:v>
      </x:c>
      <x:c r="C46" s="12" t="str">
        <x:v>0603（英制）</x:v>
      </x:c>
      <x:c r="D46" s="12" t="str">
        <x:v>UNI-ROYAL(厚声)</x:v>
      </x:c>
      <x:c r="E46" s="12" t="str">
        <x:v>R55</x:v>
      </x:c>
      <x:c r="F46" s="13" t="n">
        <x:v>1</x:v>
      </x:c>
      <x:c r="G46" s="14" t="str">
        <x:v>C22962</x:v>
      </x:c>
    </x:row>
    <x:row r="47" ht="29" customHeight="1">
      <x:c r="A47" s="15" t="str">
        <x:v>8MHz</x:v>
      </x:c>
      <x:c r="B47" s="16" t="str">
        <x:v>X32258MSB4SI</x:v>
      </x:c>
      <x:c r="C47" s="16" t="str">
        <x:v>SMD3225-4P</x:v>
      </x:c>
      <x:c r="D47" s="16" t="str">
        <x:v>YXC(扬兴晶振)</x:v>
      </x:c>
      <x:c r="E47" s="16" t="str">
        <x:v>X1</x:v>
      </x:c>
      <x:c r="F47" s="17" t="n">
        <x:v>1</x:v>
      </x:c>
      <x:c r="G47" s="18" t="str">
        <x:v>C2682774</x:v>
      </x:c>
    </x:row>
    <x:row r="48" ht="29" customHeight="1">
      <x:c r="A48" s="11" t="str">
        <x:v>LT3763EFE#PBF</x:v>
      </x:c>
      <x:c r="B48" s="12" t="str">
        <x:v>LT3763EFE#PBF</x:v>
      </x:c>
      <x:c r="C48" s="12" t="str">
        <x:v>TSSOP-28-EP</x:v>
      </x:c>
      <x:c r="D48" s="12" t="str">
        <x:v>ADI(亚德诺)</x:v>
      </x:c>
      <x:c r="E48" s="12" t="str">
        <x:v>U1</x:v>
      </x:c>
      <x:c r="F48" s="13" t="n">
        <x:v>1</x:v>
      </x:c>
      <x:c r="G48" s="14" t="str">
        <x:v>C459912</x:v>
      </x:c>
    </x:row>
    <x:row r="49" ht="29" customHeight="1">
      <x:c r="A49" s="15" t="str">
        <x:v>薄膜电阻 10kΩ ±0.1% 100mW</x:v>
      </x:c>
      <x:c r="B49" s="16" t="str">
        <x:v>RT0603BRD0710KL</x:v>
      </x:c>
      <x:c r="C49" s="16" t="str">
        <x:v>0603（英制）</x:v>
      </x:c>
      <x:c r="D49" s="16" t="str">
        <x:v>YAGEO(国巨)</x:v>
      </x:c>
      <x:c r="E49" s="16" t="str">
        <x:v>R49</x:v>
      </x:c>
      <x:c r="F49" s="17" t="n">
        <x:v>1</x:v>
      </x:c>
      <x:c r="G49" s="18" t="str">
        <x:v>C95204</x:v>
      </x:c>
    </x:row>
    <x:row r="50" ht="29" customHeight="1">
      <x:c r="A50" s="11" t="str">
        <x:v>厚膜电阻 6.34kΩ ±1% 100mW</x:v>
      </x:c>
      <x:c r="B50" s="12" t="str">
        <x:v>FRC0603F6341TS</x:v>
      </x:c>
      <x:c r="C50" s="12" t="str">
        <x:v>0603（英制）</x:v>
      </x:c>
      <x:c r="D50" s="12" t="str">
        <x:v>FOJAN(富捷)</x:v>
      </x:c>
      <x:c r="E50" s="12" t="str">
        <x:v>R53</x:v>
      </x:c>
      <x:c r="F50" s="13" t="n">
        <x:v>1</x:v>
      </x:c>
      <x:c r="G50" s="14" t="str">
        <x:v>C2930120</x:v>
      </x:c>
    </x:row>
    <x:row r="51" ht="29" customHeight="1">
      <x:c r="A51" s="15" t="str">
        <x:v>厚膜电阻 22kΩ ±1% 100mW</x:v>
      </x:c>
      <x:c r="B51" s="16" t="str">
        <x:v>0603WAF2202T5E</x:v>
      </x:c>
      <x:c r="C51" s="16" t="str">
        <x:v>0603（英制）</x:v>
      </x:c>
      <x:c r="D51" s="16" t="str">
        <x:v>UNI-ROYAL(厚声)</x:v>
      </x:c>
      <x:c r="E51" s="16" t="str">
        <x:v>R3</x:v>
      </x:c>
      <x:c r="F51" s="17" t="n">
        <x:v>1</x:v>
      </x:c>
      <x:c r="G51" s="18" t="str">
        <x:v>C31850</x:v>
      </x:c>
    </x:row>
    <x:row r="52" ht="29" customHeight="1">
      <x:c r="A52" s="11" t="str">
        <x:v>330nF ±10% 50V</x:v>
      </x:c>
      <x:c r="B52" s="12" t="str">
        <x:v>FCC0603B334K500CT</x:v>
      </x:c>
      <x:c r="C52" s="12" t="str">
        <x:v>0603（英制）</x:v>
      </x:c>
      <x:c r="D52" s="12" t="str">
        <x:v>FOJAN(富捷)</x:v>
      </x:c>
      <x:c r="E52" s="12" t="str">
        <x:v>C72</x:v>
      </x:c>
      <x:c r="F52" s="13" t="n">
        <x:v>1</x:v>
      </x:c>
      <x:c r="G52" s="14" t="str">
        <x:v>C7419419</x:v>
      </x:c>
    </x:row>
    <x:row r="53" ht="29" customHeight="1">
      <x:c r="A53" s="15" t="str">
        <x:v>厚膜电阻 221kΩ ±1% 100mW</x:v>
      </x:c>
      <x:c r="B53" s="16" t="str">
        <x:v>FRC0603F2213TS</x:v>
      </x:c>
      <x:c r="C53" s="16" t="str">
        <x:v>0603（英制）</x:v>
      </x:c>
      <x:c r="D53" s="16" t="str">
        <x:v>FOJAN(富捷)</x:v>
      </x:c>
      <x:c r="E53" s="16" t="str">
        <x:v>R22</x:v>
      </x:c>
      <x:c r="F53" s="17" t="n">
        <x:v>1</x:v>
      </x:c>
      <x:c r="G53" s="18" t="str">
        <x:v>C7467463</x:v>
      </x:c>
    </x:row>
    <x:row r="54" ht="29" customHeight="1">
      <x:c r="A54" s="11" t="str">
        <x:v>厚膜电阻 10Ω ±1% 100mW</x:v>
      </x:c>
      <x:c r="B54" s="12" t="str">
        <x:v>FRC0603F10R0TS</x:v>
      </x:c>
      <x:c r="C54" s="12" t="str">
        <x:v>0603（英制）</x:v>
      </x:c>
      <x:c r="D54" s="12" t="str">
        <x:v>FOJAN(富捷)</x:v>
      </x:c>
      <x:c r="E54" s="12" t="str">
        <x:v>R23, R24</x:v>
      </x:c>
      <x:c r="F54" s="13" t="n">
        <x:v>2</x:v>
      </x:c>
      <x:c r="G54" s="14" t="str">
        <x:v>C2906983</x:v>
      </x:c>
    </x:row>
    <x:row r="55" ht="29" customHeight="1">
      <x:c r="A55" s="15" t="str">
        <x:v>33nF ±10% 50V</x:v>
      </x:c>
      <x:c r="B55" s="16" t="str">
        <x:v>CC0603KRX7R9BB333</x:v>
      </x:c>
      <x:c r="C55" s="16" t="str">
        <x:v>0603（英制）</x:v>
      </x:c>
      <x:c r="D55" s="16" t="str">
        <x:v>YAGEO(国巨)</x:v>
      </x:c>
      <x:c r="E55" s="16" t="str">
        <x:v>C49</x:v>
      </x:c>
      <x:c r="F55" s="17" t="n">
        <x:v>1</x:v>
      </x:c>
      <x:c r="G55" s="18" t="str">
        <x:v>C106856</x:v>
      </x:c>
    </x:row>
    <x:row r="56" ht="29" customHeight="1">
      <x:c r="A56" s="11" t="str">
        <x:v>厚膜电阻 120kΩ ±1% 100mW</x:v>
      </x:c>
      <x:c r="B56" s="12" t="str">
        <x:v>0603WAF1203T5E</x:v>
      </x:c>
      <x:c r="C56" s="12" t="str">
        <x:v>0603（英制）</x:v>
      </x:c>
      <x:c r="D56" s="12" t="str">
        <x:v>UNI-ROYAL(厚声)</x:v>
      </x:c>
      <x:c r="E56" s="12" t="str">
        <x:v>R52</x:v>
      </x:c>
      <x:c r="F56" s="13" t="n">
        <x:v>1</x:v>
      </x:c>
      <x:c r="G56" s="14" t="str">
        <x:v>C25808</x:v>
      </x:c>
    </x:row>
    <x:row r="57" ht="29" customHeight="1">
      <x:c r="A57" s="15" t="str">
        <x:v>片式NTC热敏电阻</x:v>
      </x:c>
      <x:c r="B57" s="16" t="str">
        <x:v>HNTC0603-104F3950FB</x:v>
      </x:c>
      <x:c r="C57" s="16" t="str">
        <x:v>0603（英制）</x:v>
      </x:c>
      <x:c r="D57" s="16" t="str">
        <x:v>R+O(宏嘉诚)</x:v>
      </x:c>
      <x:c r="E57" s="16" t="str">
        <x:v>R56</x:v>
      </x:c>
      <x:c r="F57" s="17" t="n">
        <x:v>1</x:v>
      </x:c>
      <x:c r="G57" s="18" t="str">
        <x:v>C49247668</x:v>
      </x:c>
    </x:row>
    <x:row r="58" ht="29" customHeight="1">
      <x:c r="A58" s="11" t="str">
        <x:v>12 kΩ ±0.1% 100 mW</x:v>
      </x:c>
      <x:c r="B58" s="12" t="str">
        <x:v>RT0603BRD0712KL</x:v>
      </x:c>
      <x:c r="C58" s="12" t="str">
        <x:v>0603（英制）</x:v>
      </x:c>
      <x:c r="D58" s="12" t="str">
        <x:v>YAGEO(国巨)</x:v>
      </x:c>
      <x:c r="E58" s="12" t="str">
        <x:v>R57</x:v>
      </x:c>
      <x:c r="F58" s="13" t="n">
        <x:v>1</x:v>
      </x:c>
      <x:c r="G58" s="14" t="str">
        <x:v>C326735</x:v>
      </x:c>
    </x:row>
    <x:row r="59" ht="29" customHeight="1">
      <x:c r="A59" s="15" t="str">
        <x:v>47uF ±20% 25V</x:v>
      </x:c>
      <x:c r="B59" s="16" t="str">
        <x:v>HGC1210R5476M250NSVK</x:v>
      </x:c>
      <x:c r="C59" s="16" t="str">
        <x:v>1210（英制）</x:v>
      </x:c>
      <x:c r="D59" s="16" t="str">
        <x:v>Chinocera(华瓷)</x:v>
      </x:c>
      <x:c r="E59" s="16" t="str">
        <x:v>C75, C85, C86</x:v>
      </x:c>
      <x:c r="F59" s="17" t="n">
        <x:v>3</x:v>
      </x:c>
      <x:c r="G59" s="18" t="str">
        <x:v>C7432791</x:v>
      </x:c>
    </x:row>
    <x:row r="60" ht="29" customHeight="1">
      <x:c r="A60" s="11" t="str">
        <x:v>DSS110</x:v>
      </x:c>
      <x:c r="B60" s="12" t="str">
        <x:v>DSS110</x:v>
      </x:c>
      <x:c r="C60" s="12" t="str">
        <x:v>SOD-123</x:v>
      </x:c>
      <x:c r="D60" s="12" t="str">
        <x:v>BORN(伯恩半导体)</x:v>
      </x:c>
      <x:c r="E60" s="12" t="str">
        <x:v>D9</x:v>
      </x:c>
      <x:c r="F60" s="13" t="n">
        <x:v>1</x:v>
      </x:c>
      <x:c r="G60" s="14" t="str">
        <x:v>C511869</x:v>
      </x:c>
    </x:row>
    <x:row r="61" ht="29" customHeight="1">
      <x:c r="A61" s="15" t="str">
        <x:v>220nF ±10% 25V</x:v>
      </x:c>
      <x:c r="B61" s="16" t="str">
        <x:v>CL10B224KA8NNNC</x:v>
      </x:c>
      <x:c r="C61" s="16" t="str">
        <x:v>0603（英制）</x:v>
      </x:c>
      <x:c r="D61" s="16" t="str">
        <x:v>SAMSUNG(三星)</x:v>
      </x:c>
      <x:c r="E61" s="16" t="str">
        <x:v>C76</x:v>
      </x:c>
      <x:c r="F61" s="17" t="n">
        <x:v>1</x:v>
      </x:c>
      <x:c r="G61" s="18" t="str">
        <x:v>C21120</x:v>
      </x:c>
    </x:row>
    <x:row r="62" ht="29" customHeight="1">
      <x:c r="A62" s="11" t="str">
        <x:v>4.7uF ±10% 100V</x:v>
      </x:c>
      <x:c r="B62" s="12" t="str">
        <x:v>FS32X475K101EGG</x:v>
      </x:c>
      <x:c r="C62" s="12" t="str">
        <x:v>1210（英制）</x:v>
      </x:c>
      <x:c r="D62" s="12" t="str">
        <x:v>PSA(信昌电陶)</x:v>
      </x:c>
      <x:c r="E62" s="12" t="str">
        <x:v>C47</x:v>
      </x:c>
      <x:c r="F62" s="13" t="n">
        <x:v>1</x:v>
      </x:c>
      <x:c r="G62" s="14" t="str">
        <x:v>C381466</x:v>
      </x:c>
    </x:row>
    <x:row r="63" ht="29" customHeight="1">
      <x:c r="A63" s="15" t="str">
        <x:v>SS510</x:v>
      </x:c>
      <x:c r="B63" s="16" t="str">
        <x:v>SS510</x:v>
      </x:c>
      <x:c r="C63" s="16" t="str">
        <x:v>SMA(DO-214AC)</x:v>
      </x:c>
      <x:c r="D63" s="16" t="str">
        <x:v>R+O(宏嘉诚)</x:v>
      </x:c>
      <x:c r="E63" s="16" t="str">
        <x:v>D5</x:v>
      </x:c>
      <x:c r="F63" s="17" t="n">
        <x:v>1</x:v>
      </x:c>
      <x:c r="G63" s="18" t="str">
        <x:v>C18199171</x:v>
      </x:c>
    </x:row>
    <x:row r="64" ht="29" customHeight="1">
      <x:c r="A64" s="11" t="str">
        <x:v>SS56</x:v>
      </x:c>
      <x:c r="B64" s="12" t="str">
        <x:v>SS56</x:v>
      </x:c>
      <x:c r="C64" s="12" t="str">
        <x:v>SMA(DO-214AC)</x:v>
      </x:c>
      <x:c r="D64" s="12" t="str">
        <x:v>R+O(宏嘉诚)</x:v>
      </x:c>
      <x:c r="E64" s="12" t="str">
        <x:v>D10</x:v>
      </x:c>
      <x:c r="F64" s="13" t="n">
        <x:v>1</x:v>
      </x:c>
      <x:c r="G64" s="14" t="str">
        <x:v>C18199169</x:v>
      </x:c>
    </x:row>
    <x:row r="65" ht="29" customHeight="1">
      <x:c r="A65" s="15" t="str">
        <x:v>2.2uF ±10% 25V</x:v>
      </x:c>
      <x:c r="B65" s="16" t="str">
        <x:v>CL10A225KA8NNNC</x:v>
      </x:c>
      <x:c r="C65" s="16" t="str">
        <x:v>0603（英制）</x:v>
      </x:c>
      <x:c r="D65" s="16" t="str">
        <x:v>SAMSUNG(三星)</x:v>
      </x:c>
      <x:c r="E65" s="16" t="str">
        <x:v>C2</x:v>
      </x:c>
      <x:c r="F65" s="17" t="n">
        <x:v>1</x:v>
      </x:c>
      <x:c r="G65" s="18" t="str">
        <x:v>C57895</x:v>
      </x:c>
    </x:row>
    <x:row r="66" ht="29" customHeight="1">
      <x:c r="A66" s="11" t="str">
        <x:v>薄膜电阻 232kΩ ±0.1% 100mW</x:v>
      </x:c>
      <x:c r="B66" s="12" t="str">
        <x:v>RT0603BRD07232KL</x:v>
      </x:c>
      <x:c r="C66" s="12" t="str">
        <x:v>0603（英制）</x:v>
      </x:c>
      <x:c r="D66" s="12" t="str">
        <x:v>YAGEO(国巨)</x:v>
      </x:c>
      <x:c r="E66" s="12" t="str">
        <x:v>R30</x:v>
      </x:c>
      <x:c r="F66" s="13" t="n">
        <x:v>1</x:v>
      </x:c>
      <x:c r="G66" s="14" t="str">
        <x:v>C861240</x:v>
      </x:c>
    </x:row>
    <x:row r="67" ht="29" customHeight="1">
      <x:c r="A67" s="15" t="str">
        <x:v>2.5mΩ ±1% 3W</x:v>
      </x:c>
      <x:c r="B67" s="16" t="str">
        <x:v>WSLP25122L500FEA</x:v>
      </x:c>
      <x:c r="C67" s="16" t="str">
        <x:v>2512（英制）</x:v>
      </x:c>
      <x:c r="D67" s="16" t="str">
        <x:v>VISHAY(威世)</x:v>
      </x:c>
      <x:c r="E67" s="16" t="str">
        <x:v>R12, R1</x:v>
      </x:c>
      <x:c r="F67" s="17" t="n">
        <x:v>2</x:v>
      </x:c>
      <x:c r="G67" s="18" t="str">
        <x:v>C1518127</x:v>
      </x:c>
    </x:row>
    <x:row r="68" ht="29" customHeight="1">
      <x:c r="A68" s="11" t="str">
        <x:v>6.8uH</x:v>
      </x:c>
      <x:c r="B68" s="12" t="str">
        <x:v>MTP2915-6R8MC</x:v>
      </x:c>
      <x:c r="C68" s="12" t="str">
        <x:v>SMD-3P,28x27mm</x:v>
      </x:c>
      <x:c r="D68" s="12" t="str">
        <x:v>COILMX(迈翔科技)</x:v>
      </x:c>
      <x:c r="E68" s="12" t="str">
        <x:v>L6</x:v>
      </x:c>
      <x:c r="F68" s="13" t="n">
        <x:v>1</x:v>
      </x:c>
      <x:c r="G68" s="14" t="str">
        <x:v>C881788</x:v>
      </x:c>
    </x:row>
    <x:row r="69" ht="29" customHeight="1">
      <x:c r="A69" s="15" t="str">
        <x:v>厚膜电阻 18.2kΩ ±1% 100mW</x:v>
      </x:c>
      <x:c r="B69" s="16" t="str">
        <x:v>FRC0603F1822TS</x:v>
      </x:c>
      <x:c r="C69" s="16" t="str">
        <x:v>0603（英制）</x:v>
      </x:c>
      <x:c r="D69" s="16" t="str">
        <x:v>FOJAN(富捷)</x:v>
      </x:c>
      <x:c r="E69" s="16" t="str">
        <x:v>R4</x:v>
      </x:c>
      <x:c r="F69" s="17" t="n">
        <x:v>1</x:v>
      </x:c>
      <x:c r="G69" s="18" t="str">
        <x:v>C2933164</x:v>
      </x:c>
    </x:row>
    <x:row r="70" ht="29" customHeight="1">
      <x:c r="A70" s="11" t="str">
        <x:v>10nF ±5% 100V</x:v>
      </x:c>
      <x:c r="B70" s="12" t="str">
        <x:v>CGA3E1C0G2A103JT0Y0E</x:v>
      </x:c>
      <x:c r="C70" s="12" t="str">
        <x:v>0603（英制）</x:v>
      </x:c>
      <x:c r="D70" s="12" t="str">
        <x:v>TDK</x:v>
      </x:c>
      <x:c r="E70" s="12" t="str">
        <x:v>C42</x:v>
      </x:c>
      <x:c r="F70" s="13" t="n">
        <x:v>1</x:v>
      </x:c>
      <x:c r="G70" s="14" t="str">
        <x:v>C432938</x:v>
      </x:c>
    </x:row>
    <x:row r="71" ht="29" customHeight="1">
      <x:c r="A71" s="15" t="str">
        <x:v>厚膜电阻 2.2kΩ ±1% 1W</x:v>
      </x:c>
      <x:c r="B71" s="16" t="str">
        <x:v>25121WF2201T4E</x:v>
      </x:c>
      <x:c r="C71" s="16" t="str">
        <x:v>2512（英制）</x:v>
      </x:c>
      <x:c r="D71" s="16" t="str">
        <x:v>UNI-ROYAL(厚声)</x:v>
      </x:c>
      <x:c r="E71" s="16" t="str">
        <x:v>R37</x:v>
      </x:c>
      <x:c r="F71" s="17" t="n">
        <x:v>1</x:v>
      </x:c>
      <x:c r="G71" s="18" t="str">
        <x:v>C421608</x:v>
      </x:c>
    </x:row>
    <x:row r="72" ht="29" customHeight="1">
      <x:c r="A72" s="11" t="str">
        <x:v>470uF ±20% 63V</x:v>
      </x:c>
      <x:c r="B72" s="12" t="str">
        <x:v>PA63V470M10X17</x:v>
      </x:c>
      <x:c r="C72" s="12" t="str">
        <x:v>插件,D10xL17mm</x:v>
      </x:c>
      <x:c r="D72" s="12" t="str">
        <x:v>JIERR(捷而瑞)</x:v>
      </x:c>
      <x:c r="E72" s="12" t="str">
        <x:v>C59</x:v>
      </x:c>
      <x:c r="F72" s="13" t="n">
        <x:v>1</x:v>
      </x:c>
      <x:c r="G72" s="14" t="str">
        <x:v>C49232909</x:v>
      </x:c>
    </x:row>
    <x:row r="73" ht="29" customHeight="1">
      <x:c r="A73" s="15" t="str">
        <x:v>TLP2761(D4-TP4,E</x:v>
      </x:c>
      <x:c r="B73" s="16" t="str">
        <x:v>TLP2761(D4-TP4,E</x:v>
      </x:c>
      <x:c r="C73" s="16" t="str">
        <x:v>SO-6L</x:v>
      </x:c>
      <x:c r="D73" s="16" t="str">
        <x:v>TOSHIBA(东芝)</x:v>
      </x:c>
      <x:c r="E73" s="16" t="str">
        <x:v>U8</x:v>
      </x:c>
      <x:c r="F73" s="17" t="n">
        <x:v>1</x:v>
      </x:c>
      <x:c r="G73" s="18" t="str">
        <x:v>C24267845</x:v>
      </x:c>
    </x:row>
    <x:row r="74" ht="29" customHeight="1">
      <x:c r="A74" s="11" t="str">
        <x:v>薄膜电阻 8.2kΩ ±0.1% 100mW</x:v>
      </x:c>
      <x:c r="B74" s="12" t="str">
        <x:v>RT0603BRD078K2L</x:v>
      </x:c>
      <x:c r="C74" s="12" t="str">
        <x:v>0603（英制）</x:v>
      </x:c>
      <x:c r="D74" s="12" t="str">
        <x:v>YAGEO(国巨)</x:v>
      </x:c>
      <x:c r="E74" s="12" t="str">
        <x:v>R19</x:v>
      </x:c>
      <x:c r="F74" s="13" t="n">
        <x:v>1</x:v>
      </x:c>
      <x:c r="G74" s="14" t="str">
        <x:v>C861589</x:v>
      </x:c>
    </x:row>
    <x:row r="75" ht="29" customHeight="1">
      <x:c r="A75" s="15" t="str">
        <x:v>1N4148WS-E3-08</x:v>
      </x:c>
      <x:c r="B75" s="16" t="str">
        <x:v>1N4148WS-E3-08</x:v>
      </x:c>
      <x:c r="C75" s="16" t="str">
        <x:v>SOD-323</x:v>
      </x:c>
      <x:c r="D75" s="16" t="str">
        <x:v>VISHAY(威世)</x:v>
      </x:c>
      <x:c r="E75" s="16" t="str">
        <x:v>D13</x:v>
      </x:c>
      <x:c r="F75" s="17" t="n">
        <x:v>1</x:v>
      </x:c>
      <x:c r="G75" s="18" t="str">
        <x:v>C129905</x:v>
      </x:c>
    </x:row>
    <x:row r="76" ht="29" customHeight="1">
      <x:c r="A76" s="11" t="str">
        <x:v>DB301V-3.5-2P-GN-S</x:v>
      </x:c>
      <x:c r="B76" s="12" t="str">
        <x:v>DB301V-3.5-2P-GN-S</x:v>
      </x:c>
      <x:c r="C76" s="12" t="str">
        <x:v>插件,P=3.5mm</x:v>
      </x:c>
      <x:c r="D76" s="12" t="str">
        <x:v>DORABO(地博电气)</x:v>
      </x:c>
      <x:c r="E76" s="12" t="str">
        <x:v>U9</x:v>
      </x:c>
      <x:c r="F76" s="13" t="n">
        <x:v>1</x:v>
      </x:c>
      <x:c r="G76" s="14" t="str">
        <x:v>C695629</x:v>
      </x:c>
    </x:row>
    <x:row r="77" ht="29" customHeight="1">
      <x:c r="A77" s="15" t="str">
        <x:v>厚膜电阻 10Ω ±1% 125mW</x:v>
      </x:c>
      <x:c r="B77" s="16" t="str">
        <x:v>0805W8F100JT5E</x:v>
      </x:c>
      <x:c r="C77" s="16" t="str">
        <x:v>0805（英制）</x:v>
      </x:c>
      <x:c r="D77" s="16" t="str">
        <x:v>UNI-ROYAL(厚声)</x:v>
      </x:c>
      <x:c r="E77" s="16" t="str">
        <x:v>R42, R21, R43, R47</x:v>
      </x:c>
      <x:c r="F77" s="17" t="n">
        <x:v>4</x:v>
      </x:c>
      <x:c r="G77" s="18" t="str">
        <x:v>C17415</x:v>
      </x:c>
    </x:row>
    <x:row r="78" ht="29" customHeight="1">
      <x:c r="A78" s="11" t="str">
        <x:v>1uF ±10% 100V</x:v>
      </x:c>
      <x:c r="B78" s="12" t="str">
        <x:v>FS32X105K101EFG</x:v>
      </x:c>
      <x:c r="C78" s="12" t="str">
        <x:v>1210（英制）</x:v>
      </x:c>
      <x:c r="D78" s="12" t="str">
        <x:v>PSA(信昌电陶)</x:v>
      </x:c>
      <x:c r="E78" s="12" t="str">
        <x:v>C73, C74, C79, C84, C91, C92, C93</x:v>
      </x:c>
      <x:c r="F78" s="13" t="n">
        <x:v>7</x:v>
      </x:c>
      <x:c r="G78" s="14" t="str">
        <x:v>C382212</x:v>
      </x:c>
    </x:row>
    <x:row r="79" ht="29" customHeight="1">
      <x:c r="A79" s="15" t="str">
        <x:v>BSC070N10LS5ATMA1</x:v>
      </x:c>
      <x:c r="B79" s="16" t="str">
        <x:v>BSC070N10LS5ATMA1</x:v>
      </x:c>
      <x:c r="C79" s="16" t="str">
        <x:v>TDSON-8</x:v>
      </x:c>
      <x:c r="D79" s="16" t="str">
        <x:v>Infineon(英飞凌)</x:v>
      </x:c>
      <x:c r="E79" s="16" t="str">
        <x:v>Q2, Q5</x:v>
      </x:c>
      <x:c r="F79" s="17" t="n">
        <x:v>2</x:v>
      </x:c>
      <x:c r="G79" s="18" t="str">
        <x:v>C3278731</x:v>
      </x:c>
    </x:row>
    <x:row r="80" ht="29" customHeight="1">
      <x:c r="A80" s="11" t="str">
        <x:v>BSC096N10LS5ATMA1</x:v>
      </x:c>
      <x:c r="B80" s="12" t="str">
        <x:v>BSC096N10LS5ATMA1</x:v>
      </x:c>
      <x:c r="C80" s="12" t="str">
        <x:v>TDSON-8</x:v>
      </x:c>
      <x:c r="D80" s="12" t="str">
        <x:v>Infineon(英飞凌)</x:v>
      </x:c>
      <x:c r="E80" s="12" t="str">
        <x:v>Q1, Q6</x:v>
      </x:c>
      <x:c r="F80" s="13" t="n">
        <x:v>2</x:v>
      </x:c>
      <x:c r="G80" s="14" t="str">
        <x:v>C3278721</x:v>
      </x:c>
    </x:row>
    <x:row r="81" ht="29" customHeight="1">
      <x:c r="A81" s="15" t="str">
        <x:v>4.7uF ±10% 16V</x:v>
      </x:c>
      <x:c r="B81" s="16" t="str">
        <x:v>CGA0603X5R475K160JT</x:v>
      </x:c>
      <x:c r="C81" s="16" t="str">
        <x:v>0603（英制）</x:v>
      </x:c>
      <x:c r="D81" s="16" t="str">
        <x:v>HRE(芯声)</x:v>
      </x:c>
      <x:c r="E81" s="16" t="str">
        <x:v>C48</x:v>
      </x:c>
      <x:c r="F81" s="17" t="n">
        <x:v>1</x:v>
      </x:c>
      <x:c r="G81" s="18" t="str">
        <x:v>C6119855</x:v>
      </x:c>
    </x:row>
    <x:row r="82" ht="29" customHeight="1">
      <x:c r="A82" s="11" t="str">
        <x:v>10nF ±10% 50V</x:v>
      </x:c>
      <x:c r="B82" s="12" t="str">
        <x:v>FCC0603B103K500CT</x:v>
      </x:c>
      <x:c r="C82" s="12" t="str">
        <x:v>0603（英制）</x:v>
      </x:c>
      <x:c r="D82" s="12" t="str">
        <x:v>FOJAN(富捷)</x:v>
      </x:c>
      <x:c r="E82" s="12" t="str">
        <x:v>C90</x:v>
      </x:c>
      <x:c r="F82" s="13" t="n">
        <x:v>1</x:v>
      </x:c>
      <x:c r="G82" s="14" t="str">
        <x:v>C5137477</x:v>
      </x:c>
    </x:row>
    <x:row r="83" ht="29" customHeight="1">
      <x:c r="A83" s="15" t="str">
        <x:v>薄膜电阻 10Ω ±1% 1W</x:v>
      </x:c>
      <x:c r="B83" s="16" t="str">
        <x:v>SMM02070C1009FBP00</x:v>
      </x:c>
      <x:c r="C83" s="16" t="str">
        <x:v>MELF-0207</x:v>
      </x:c>
      <x:c r="D83" s="16" t="str">
        <x:v>VISHAY(威世)</x:v>
      </x:c>
      <x:c r="E83" s="16" t="str">
        <x:v>R48, R71</x:v>
      </x:c>
      <x:c r="F83" s="17" t="n">
        <x:v>2</x:v>
      </x:c>
      <x:c r="G83" s="18" t="str">
        <x:v>C5224088</x:v>
      </x:c>
    </x:row>
    <x:row r="84" ht="29" customHeight="1">
      <x:c r="A84" s="11" t="str">
        <x:v>220pF ±5% 1kV</x:v>
      </x:c>
      <x:c r="B84" s="12" t="str">
        <x:v>CC1206JKNPOCBN221</x:v>
      </x:c>
      <x:c r="C84" s="12" t="str">
        <x:v>1206（英制）</x:v>
      </x:c>
      <x:c r="D84" s="12" t="str">
        <x:v>YAGEO(国巨)</x:v>
      </x:c>
      <x:c r="E84" s="12" t="str">
        <x:v>C65, C87</x:v>
      </x:c>
      <x:c r="F84" s="13" t="n">
        <x:v>2</x:v>
      </x:c>
      <x:c r="G84" s="14" t="str">
        <x:v>C107175</x:v>
      </x:c>
    </x:row>
    <x:row r="85" ht="30" customHeight="1">
      <x:c r="A85" s="22" t="str">
        <x:v>合计（1 套）</x:v>
      </x:c>
      <x:c r="B85" s="22"/>
      <x:c r="C85" s="22"/>
      <x:c r="D85" s="22"/>
      <x:c r="E85" s="22" t="str">
        <x:f>COUNTA(B2:B84)&amp;" 项物料"</x:f>
        <x:v>83 项物料</x:v>
      </x:c>
      <x:c r="F85" s="24" t="n">
        <x:f>SUM(F2:F84)</x:f>
        <x:v>208</x:v>
      </x:c>
      <x:c r="G85" s="22"/>
    </x:row>
  </x:sheetData>
  <x:pageMargins left="0.7" right="0.7" top="0.75" bottom="0.75" header="0.3" footer="0.3"/>
  <x:tableParts count="1">
    <x:tablePart xmlns:r="http://schemas.openxmlformats.org/officeDocument/2006/relationships" r:id="R5aec778d77b84d20"/>
  </x:tableParts>
</x:worksheet>
</file>