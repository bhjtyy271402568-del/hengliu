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2ce646648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710366865552483d"/>
  </x:sheets>
</x:workbook>
</file>

<file path=xl/sharedStrings.xml><?xml version="1.0" encoding="utf-8"?>
<x:sst xmlns:x="http://schemas.openxmlformats.org/spreadsheetml/2006/main">
  <x:si>
    <x:t xml:space="preserve">原始需求</x:t>
  </x:si>
  <x:si>
    <x:t xml:space="preserve">匹配结果</x:t>
  </x:si>
  <x:si>
    <x:t xml:space="preserve">订单满足</x:t>
  </x:si>
  <x:si>
    <x:t xml:space="preserve">Manufacturer Part</x:t>
  </x:si>
  <x:si>
    <x:t xml:space="preserve">Manufacturer</x:t>
  </x:si>
  <x:si>
    <x:t xml:space="preserve">Footprint</x:t>
  </x:si>
  <x:si>
    <x:t xml:space="preserve">原参数</x:t>
  </x:si>
  <x:si>
    <x:t xml:space="preserve">Supplier Part</x:t>
  </x:si>
  <x:si>
    <x:t xml:space="preserve">ID</x:t>
  </x:si>
  <x:si>
    <x:t xml:space="preserve">Name</x:t>
  </x:si>
  <x:si>
    <x:t xml:space="preserve">Designator</x:t>
  </x:si>
  <x:si>
    <x:t xml:space="preserve">单价</x:t>
  </x:si>
  <x:si>
    <x:t xml:space="preserve">Supplier</x:t>
  </x:si>
  <x:si>
    <x:t xml:space="preserve">商品名称</x:t>
  </x:si>
  <x:si>
    <x:t xml:space="preserve">型号</x:t>
  </x:si>
  <x:si>
    <x:t xml:space="preserve">品牌</x:t>
  </x:si>
  <x:si>
    <x:t xml:space="preserve">封装</x:t>
  </x:si>
  <x:si>
    <x:t xml:space="preserve">参数</x:t>
  </x:si>
  <x:si>
    <x:t xml:space="preserve">目录</x:t>
  </x:si>
  <x:si>
    <x:t xml:space="preserve">商品编号</x:t>
  </x:si>
  <x:si>
    <x:t xml:space="preserve">商品链接</x:t>
  </x:si>
  <x:si>
    <x:t xml:space="preserve">渠道</x:t>
  </x:si>
  <x:si>
    <x:t xml:space="preserve">交期</x:t>
  </x:si>
  <x:si>
    <x:t xml:space="preserve">MOQ</x:t>
  </x:si>
  <x:si>
    <x:t xml:space="preserve">MPQ</x:t>
  </x:si>
  <x:si>
    <x:t xml:space="preserve">库存</x:t>
  </x:si>
  <x:si>
    <x:t xml:space="preserve">购买数量</x:t>
  </x:si>
  <x:si>
    <x:t xml:space="preserve">原报价单价(RMB)</x:t>
  </x:si>
  <x:si>
    <x:t xml:space="preserve">关税税率</x:t>
  </x:si>
  <x:si>
    <x:t xml:space="preserve">参考小计(RMB)</x:t>
  </x:si>
  <x:si>
    <x:t xml:space="preserve">备注</x:t>
  </x:si>
  <x:si>
    <x:t xml:space="preserve">XT60PW-M</x:t>
  </x:si>
  <x:si>
    <x:t xml:space="preserve">AMASS(艾迈斯)</x:t>
  </x:si>
  <x:si>
    <x:t xml:space="preserve">CONN-TH_XT60PW-M</x:t>
  </x:si>
  <x:si>
    <x:t xml:space="preserve">C98732</x:t>
  </x:si>
  <x:si>
    <x:t xml:space="preserve">1</x:t>
  </x:si>
  <x:si>
    <x:t xml:space="preserve">CN2,CN1</x:t>
  </x:si>
  <x:si>
    <x:t xml:space="preserve">2</x:t>
  </x:si>
  <x:si>
    <x:t xml:space="preserve">LCSC</x:t>
  </x:si>
  <x:si>
    <x:t xml:space="preserve">系统匹配</x:t>
  </x:si>
  <x:si>
    <x:t xml:space="preserve">AMASS(艾迈斯)航模插头xt60连接器150公母对接pw锂电池公头 接PCB板卧式 黄色 公头XT60PW-M.G.Y</x:t>
  </x:si>
  <x:si>
    <x:t xml:space="preserve">-</x:t>
  </x:si>
  <x:si>
    <x:t xml:space="preserve">颜色：黄色 类型：卧式插头 接口形态：公头</x:t>
  </x:si>
  <x:si>
    <x:t xml:space="preserve">工控电气</x:t>
  </x:si>
  <x:si>
    <x:t xml:space="preserve">https://item.szlcsc.com/99942.html</x:t>
  </x:si>
  <x:si>
    <x:t xml:space="preserve">订货</x:t>
  </x:si>
  <x:si>
    <x:t xml:space="preserve">预估7-10个工作日</x:t>
  </x:si>
  <x:si>
    <x:t xml:space="preserve">250</x:t>
  </x:si>
  <x:si>
    <x:t xml:space="preserve">0</x:t>
  </x:si>
  <x:si>
    <x:t xml:space="preserve">3.69</x:t>
  </x:si>
  <x:si>
    <x:t xml:space="preserve">FS32X106K101EGG</x:t>
  </x:si>
  <x:si>
    <x:t xml:space="preserve">PSA(信昌电陶)</x:t>
  </x:si>
  <x:si>
    <x:t xml:space="preserve">C1210</x:t>
  </x:si>
  <x:si>
    <x:t xml:space="preserve">C5156756</x:t>
  </x:si>
  <x:si>
    <x:t xml:space="preserve">10uF</x:t>
  </x:si>
  <x:si>
    <x:t xml:space="preserve">C3,C4,C10,C11,C12,C13,C14,C15,C16,C19,C20,C36,C43,C29,C23,C80,C81,C82,C83,C63,C64,C96,C97</x:t>
  </x:si>
  <x:si>
    <x:t xml:space="preserve">10uF ±10% 100V</x:t>
  </x:si>
  <x:si>
    <x:t xml:space="preserve">1210</x:t>
  </x:si>
  <x:si>
    <x:t xml:space="preserve">容值：10uF 精度：±10% 额定电压：100V 温度系数：X7R</x:t>
  </x:si>
  <x:si>
    <x:t xml:space="preserve">电容</x:t>
  </x:si>
  <x:si>
    <x:t xml:space="preserve">https://item.szlcsc.com/5791227.html</x:t>
  </x:si>
  <x:si>
    <x:t xml:space="preserve">现货</x:t>
  </x:si>
  <x:si>
    <x:t xml:space="preserve">4小时内发货</x:t>
  </x:si>
  <x:si>
    <x:t xml:space="preserve">5</x:t>
  </x:si>
  <x:si>
    <x:t xml:space="preserve">1000</x:t>
  </x:si>
  <x:si>
    <x:t xml:space="preserve">359050</x:t>
  </x:si>
  <x:si>
    <x:t xml:space="preserve">2.434</x:t>
  </x:si>
  <x:si>
    <x:t xml:space="preserve">SMCJ36CA</x:t>
  </x:si>
  <x:si>
    <x:t xml:space="preserve">R+O(宏嘉诚)</x:t>
  </x:si>
  <x:si>
    <x:t xml:space="preserve">SMC_L6.9-W5.9-LS7.9-BI</x:t>
  </x:si>
  <x:si>
    <x:t xml:space="preserve">C19077609</x:t>
  </x:si>
  <x:si>
    <x:t xml:space="preserve">3</x:t>
  </x:si>
  <x:si>
    <x:t xml:space="preserve">D6</x:t>
  </x:si>
  <x:si>
    <x:t xml:space="preserve">双向TVS 36V截止 峰值浪涌电流：25.9A@10/1000us</x:t>
  </x:si>
  <x:si>
    <x:t xml:space="preserve">SMC(DO-214AB)</x:t>
  </x:si>
  <x:si>
    <x:t xml:space="preserve">极性：双向 反向截止电压(Vrwm)：36V 钳位电压：58.1V 峰值脉冲电流(Ipp)：25.9A@10/1000us 峰值脉冲功率(Ppp)：1.5kW@10/1000us 击穿电压(VBR)：44.2V 反向电流(Ir)：1uA 通道数：单路 工作温度：-55℃~+150℃ 防护等级：IEC 61000-4-2 类型：TVS</x:t>
  </x:si>
  <x:si>
    <x:t xml:space="preserve">三极管/MOS管/晶体管</x:t>
  </x:si>
  <x:si>
    <x:t xml:space="preserve">https://item.szlcsc.com/20275694.html</x:t>
  </x:si>
  <x:si>
    <x:t xml:space="preserve">3000</x:t>
  </x:si>
  <x:si>
    <x:t xml:space="preserve">343835</x:t>
  </x:si>
  <x:si>
    <x:t xml:space="preserve">0.9024</x:t>
  </x:si>
  <x:si>
    <x:t xml:space="preserve">HoYLR2512-3W-300mR-1%</x:t>
  </x:si>
  <x:si>
    <x:t xml:space="preserve">Milliohm(毫欧)</x:t>
  </x:si>
  <x:si>
    <x:t xml:space="preserve">R2512</x:t>
  </x:si>
  <x:si>
    <x:t xml:space="preserve">C5375492</x:t>
  </x:si>
  <x:si>
    <x:t xml:space="preserve">4</x:t>
  </x:si>
  <x:si>
    <x:t xml:space="preserve">300mΩ</x:t>
  </x:si>
  <x:si>
    <x:t xml:space="preserve">R6,R17</x:t>
  </x:si>
  <x:si>
    <x:t xml:space="preserve">300mΩ ±1% 3W</x:t>
  </x:si>
  <x:si>
    <x:t xml:space="preserve">2512</x:t>
  </x:si>
  <x:si>
    <x:t xml:space="preserve">电阻类型：采样电阻 阻值：300mΩ 精度：±1% 功率：3W 安装方式：贴片</x:t>
  </x:si>
  <x:si>
    <x:t xml:space="preserve">电阻</x:t>
  </x:si>
  <x:si>
    <x:t xml:space="preserve">https://item.szlcsc.com/6233989.html</x:t>
  </x:si>
  <x:si>
    <x:t xml:space="preserve">10</x:t>
  </x:si>
  <x:si>
    <x:t xml:space="preserve">4000</x:t>
  </x:si>
  <x:si>
    <x:t xml:space="preserve">37560</x:t>
  </x:si>
  <x:si>
    <x:t xml:space="preserve">0.3943</x:t>
  </x:si>
  <x:si>
    <x:t xml:space="preserve">RVT63V100M10X10</x:t>
  </x:si>
  <x:si>
    <x:t xml:space="preserve">JIERR(捷而瑞)</x:t>
  </x:si>
  <x:si>
    <x:t xml:space="preserve">CAP-SMD_BD10.0-L10.3-W10.3-LS11.0-FD_1</x:t>
  </x:si>
  <x:si>
    <x:t xml:space="preserve">C51953411</x:t>
  </x:si>
  <x:si>
    <x:t xml:space="preserve">100uF</x:t>
  </x:si>
  <x:si>
    <x:t xml:space="preserve">C5,C9</x:t>
  </x:si>
  <x:si>
    <x:t xml:space="preserve">100uF ±20% 63V</x:t>
  </x:si>
  <x:si>
    <x:t xml:space="preserve">SMD,D10xL10.5mm</x:t>
  </x:si>
  <x:si>
    <x:t xml:space="preserve">容值：100uF 精度：±20% 额定电压：63V 纹波电流：200mA@120Hz 等效串联电阻(ESR)：- 电容体直径：10mm 电容体长度：10.5mm 工作寿命：2000hrs@105℃ 工作温度：-40℃~+105℃</x:t>
  </x:si>
  <x:si>
    <x:t xml:space="preserve">https://item.szlcsc.com/54681536.html</x:t>
  </x:si>
  <x:si>
    <x:t xml:space="preserve">500</x:t>
  </x:si>
  <x:si>
    <x:t xml:space="preserve">20515</x:t>
  </x:si>
  <x:si>
    <x:t xml:space="preserve">1.05944</x:t>
  </x:si>
  <x:si>
    <x:t xml:space="preserve">0805W8F1003T5E</x:t>
  </x:si>
  <x:si>
    <x:t xml:space="preserve">UNI-ROYAL(厚声)</x:t>
  </x:si>
  <x:si>
    <x:t xml:space="preserve">R0805</x:t>
  </x:si>
  <x:si>
    <x:t xml:space="preserve">C149504</x:t>
  </x:si>
  <x:si>
    <x:t xml:space="preserve">6</x:t>
  </x:si>
  <x:si>
    <x:t xml:space="preserve">100kΩ</x:t>
  </x:si>
  <x:si>
    <x:t xml:space="preserve">R8,R28,R15,R7</x:t>
  </x:si>
  <x:si>
    <x:t xml:space="preserve">厚膜电阻 100kΩ ±1% 125mW</x:t>
  </x:si>
  <x:si>
    <x:t xml:space="preserve">0805</x:t>
  </x:si>
  <x:si>
    <x:t xml:space="preserve">电阻类型：厚膜电阻 阻值：100kΩ 精度：±1% 功率：125mW 工作电压：150V 温度系数：±100ppm/℃ 工作温度：-55℃~+155℃</x:t>
  </x:si>
  <x:si>
    <x:t xml:space="preserve">https://item.szlcsc.com/160838.html</x:t>
  </x:si>
  <x:si>
    <x:t xml:space="preserve">100</x:t>
  </x:si>
  <x:si>
    <x:t xml:space="preserve">5000</x:t>
  </x:si>
  <x:si>
    <x:t xml:space="preserve">3774900</x:t>
  </x:si>
  <x:si>
    <x:t xml:space="preserve">0.0361</x:t>
  </x:si>
  <x:si>
    <x:t xml:space="preserve">0805W8F1001T5E</x:t>
  </x:si>
  <x:si>
    <x:t xml:space="preserve">C17513</x:t>
  </x:si>
  <x:si>
    <x:t xml:space="preserve">7</x:t>
  </x:si>
  <x:si>
    <x:t xml:space="preserve">1kΩ</x:t>
  </x:si>
  <x:si>
    <x:t xml:space="preserve">R9,R45,R11,R18</x:t>
  </x:si>
  <x:si>
    <x:t xml:space="preserve">厚膜电阻 1kΩ ±1% 125mW</x:t>
  </x:si>
  <x:si>
    <x:t xml:space="preserve">电阻类型：厚膜电阻 阻值：1kΩ 精度：±1% 功率：125mW 工作电压：150V 温度系数：±100ppm/℃ 工作温度：-55℃~+155℃</x:t>
  </x:si>
  <x:si>
    <x:t xml:space="preserve">https://item.szlcsc.com/18201.html</x:t>
  </x:si>
  <x:si>
    <x:t xml:space="preserve">26203200</x:t>
  </x:si>
  <x:si>
    <x:t xml:space="preserve">0.0253</x:t>
  </x:si>
  <x:si>
    <x:t xml:space="preserve">CC0603KRX7R9BB104</x:t>
  </x:si>
  <x:si>
    <x:t xml:space="preserve">YAGEO(国巨)</x:t>
  </x:si>
  <x:si>
    <x:t xml:space="preserve">C0603</x:t>
  </x:si>
  <x:si>
    <x:t xml:space="preserve">C14663</x:t>
  </x:si>
  <x:si>
    <x:t xml:space="preserve">8</x:t>
  </x:si>
  <x:si>
    <x:t xml:space="preserve">100nF</x:t>
  </x:si>
  <x:si>
    <x:t xml:space="preserve">C6,C7,C56,C55,C57,C32,C33,C50,C45,C46,C26,C106,C51,C40,C61,C78,C58,C41,C54,C52,C70,C62</x:t>
  </x:si>
  <x:si>
    <x:t xml:space="preserve">100nF ±10% 50V</x:t>
  </x:si>
  <x:si>
    <x:t xml:space="preserve">0603</x:t>
  </x:si>
  <x:si>
    <x:t xml:space="preserve">容值：100nF 精度：±10% 额定电压：50V 温度系数：X7R</x:t>
  </x:si>
  <x:si>
    <x:t xml:space="preserve">https://item.szlcsc.com/15331.html</x:t>
  </x:si>
  <x:si>
    <x:t xml:space="preserve">50</x:t>
  </x:si>
  <x:si>
    <x:t xml:space="preserve">8686550</x:t>
  </x:si>
  <x:si>
    <x:t xml:space="preserve">0.0757</x:t>
  </x:si>
  <x:si>
    <x:t xml:space="preserve">CC0603KRX7R9BB102</x:t>
  </x:si>
  <x:si>
    <x:t xml:space="preserve">C100040</x:t>
  </x:si>
  <x:si>
    <x:t xml:space="preserve">9</x:t>
  </x:si>
  <x:si>
    <x:t xml:space="preserve">1nF</x:t>
  </x:si>
  <x:si>
    <x:t xml:space="preserve">C8,C60</x:t>
  </x:si>
  <x:si>
    <x:t xml:space="preserve">1nF ±10% 50V</x:t>
  </x:si>
  <x:si>
    <x:t xml:space="preserve">容值：1nF 精度：±10% 额定电压：50V 温度系数：X7R</x:t>
  </x:si>
  <x:si>
    <x:t xml:space="preserve">https://item.szlcsc.com/101254.html</x:t>
  </x:si>
  <x:si>
    <x:t xml:space="preserve">1823300</x:t>
  </x:si>
  <x:si>
    <x:t xml:space="preserve">0.0605</x:t>
  </x:si>
  <x:si>
    <x:t xml:space="preserve">BZT52C12</x:t>
  </x:si>
  <x:si>
    <x:t xml:space="preserve">SOD-123_L2.7-W1.6-LS3.7-RD</x:t>
  </x:si>
  <x:si>
    <x:t xml:space="preserve">C19077410</x:t>
  </x:si>
  <x:si>
    <x:t xml:space="preserve">D7,D8</x:t>
  </x:si>
  <x:si>
    <x:t xml:space="preserve">表面贴装齐纳二极管</x:t>
  </x:si>
  <x:si>
    <x:t xml:space="preserve">SOD-123</x:t>
  </x:si>
  <x:si>
    <x:t xml:space="preserve">二极管配置：1个独立式 稳压值(标称值)：12V 反向电流(Ir)：100nA@8V 稳压值(范围值)：11.4V~12.6V 耗散功率(Pd)：350mW 阻抗(Zzt)：25Ω 阻抗(Zzk)：150Ω 工作结温范围：-55℃~+150℃ 精度：-</x:t>
  </x:si>
  <x:si>
    <x:t xml:space="preserve">二极管</x:t>
  </x:si>
  <x:si>
    <x:t xml:space="preserve">https://item.szlcsc.com/20275495.html</x:t>
  </x:si>
  <x:si>
    <x:t xml:space="preserve">598165</x:t>
  </x:si>
  <x:si>
    <x:t xml:space="preserve">0.1033</x:t>
  </x:si>
  <x:si>
    <x:t xml:space="preserve">BZT52C43</x:t>
  </x:si>
  <x:si>
    <x:t xml:space="preserve">C22395571</x:t>
  </x:si>
  <x:si>
    <x:t xml:space="preserve">11</x:t>
  </x:si>
  <x:si>
    <x:t xml:space="preserve">U7</x:t>
  </x:si>
  <x:si>
    <x:t xml:space="preserve">二极管配置：1个独立式 稳压值(标称值)：43V 反向电流(Ir)：100nA@32V 稳压值(范围值)：40.85V~45.15V 耗散功率(Pd)：350mW 阻抗(Zzt)：100Ω 阻抗(Zzk)：700Ω 工作结温范围：-55℃~+150℃ 精度：-</x:t>
  </x:si>
  <x:si>
    <x:t xml:space="preserve">https://item.szlcsc.com/23994568.html</x:t>
  </x:si>
  <x:si>
    <x:t xml:space="preserve">71600</x:t>
  </x:si>
  <x:si>
    <x:t xml:space="preserve">0.1203</x:t>
  </x:si>
  <x:si>
    <x:t xml:space="preserve">MMBT5401LT1G</x:t>
  </x:si>
  <x:si>
    <x:t xml:space="preserve">onsemi(安森美)</x:t>
  </x:si>
  <x:si>
    <x:t xml:space="preserve">SOT-23-3_L2.9-W1.3-P1.90-LS2.4-BR</x:t>
  </x:si>
  <x:si>
    <x:t xml:space="preserve">C21488</x:t>
  </x:si>
  <x:si>
    <x:t xml:space="preserve">12</x:t>
  </x:si>
  <x:si>
    <x:t xml:space="preserve">Q11</x:t>
  </x:si>
  <x:si>
    <x:t xml:space="preserve">PNP 电流:500mA 电压:150V</x:t>
  </x:si>
  <x:si>
    <x:t xml:space="preserve">SOT-23</x:t>
  </x:si>
  <x:si>
    <x:t xml:space="preserve">晶体管类型：PNP 集电极电流(Ic)：500mA 集射极击穿电压(Vceo)：150V 耗散功率(Pd)：300mW 直流电流增益(hFE)：60 特征频率(fT)：300MHz 集电极截止电流(Icbo)：50nA 集射极饱和电压(VCE(sat))：200mV 工作温度：-55℃~+150℃ 射基极击穿电压(Vebo)：5V 数量：1个PNP</x:t>
  </x:si>
  <x:si>
    <x:t xml:space="preserve">https://item.szlcsc.com/22205.html</x:t>
  </x:si>
  <x:si>
    <x:t xml:space="preserve">20</x:t>
  </x:si>
  <x:si>
    <x:t xml:space="preserve">122980</x:t>
  </x:si>
  <x:si>
    <x:t xml:space="preserve">0.2153</x:t>
  </x:si>
  <x:si>
    <x:t xml:space="preserve">SUM110P08-11L-E3</x:t>
  </x:si>
  <x:si>
    <x:t xml:space="preserve">VISHAY(威世)</x:t>
  </x:si>
  <x:si>
    <x:t xml:space="preserve">TO-263-2_L10.0-W9.1-P5.08-LS15.2-BL-2</x:t>
  </x:si>
  <x:si>
    <x:t xml:space="preserve">C2838509</x:t>
  </x:si>
  <x:si>
    <x:t xml:space="preserve">13</x:t>
  </x:si>
  <x:si>
    <x:t xml:space="preserve">Q12,Q3</x:t>
  </x:si>
  <x:si>
    <x:t xml:space="preserve">1个P沟道 耐压:80V 电流:110A</x:t>
  </x:si>
  <x:si>
    <x:t xml:space="preserve">TO-263(D2PAK)</x:t>
  </x:si>
  <x:si>
    <x:t xml:space="preserve">数量：1个P沟道 漏源电压(Vdss)：80V 连续漏极电流(Id)：110A 导通电阻(RDS(on))：14.5mΩ@4.5V 耗散功率(Pd)：375W 阈值电压(Vgs(th))：3V 栅极电荷量(Qg)：85nC@10V 输入电容(Ciss)：10.85nF 反向传输电容(Crss)：700pF 工作温度：-55℃~+175℃ 配置：- 类型：P沟道 输出电容(Coss)：800pF 栅极电压(Vgs)：±20V</x:t>
  </x:si>
  <x:si>
    <x:t xml:space="preserve">https://item.szlcsc.com/3013236.html</x:t>
  </x:si>
  <x:si>
    <x:t xml:space="preserve">800</x:t>
  </x:si>
  <x:si>
    <x:t xml:space="preserve">571</x:t>
  </x:si>
  <x:si>
    <x:t xml:space="preserve">25.76</x:t>
  </x:si>
  <x:si>
    <x:t xml:space="preserve">FRC0603F2202TS</x:t>
  </x:si>
  <x:si>
    <x:t xml:space="preserve">FOJAN(富捷)</x:t>
  </x:si>
  <x:si>
    <x:t xml:space="preserve">R0603</x:t>
  </x:si>
  <x:si>
    <x:t xml:space="preserve">C2907015</x:t>
  </x:si>
  <x:si>
    <x:t xml:space="preserve">14</x:t>
  </x:si>
  <x:si>
    <x:t xml:space="preserve">22kΩ</x:t>
  </x:si>
  <x:si>
    <x:t xml:space="preserve">R20</x:t>
  </x:si>
  <x:si>
    <x:t xml:space="preserve">厚膜电阻 22kΩ ±1% 100mW</x:t>
  </x:si>
  <x:si>
    <x:t xml:space="preserve">电阻类型：厚膜电阻 阻值：22kΩ 精度：±1% 功率：100mW 工作电压：75V 温度系数：±100ppm/℃ 工作温度：-55℃~+155℃</x:t>
  </x:si>
  <x:si>
    <x:t xml:space="preserve">https://item.szlcsc.com/3180528.html</x:t>
  </x:si>
  <x:si>
    <x:t xml:space="preserve">1921300</x:t>
  </x:si>
  <x:si>
    <x:t xml:space="preserve">0.01368</x:t>
  </x:si>
  <x:si>
    <x:t xml:space="preserve">PA63V220M10x15</x:t>
  </x:si>
  <x:si>
    <x:t xml:space="preserve">CAP-TH_BD10.0-P5.00-D0.6-FD_2</x:t>
  </x:si>
  <x:si>
    <x:t xml:space="preserve">C46550454</x:t>
  </x:si>
  <x:si>
    <x:t xml:space="preserve">15</x:t>
  </x:si>
  <x:si>
    <x:t xml:space="preserve">220uF</x:t>
  </x:si>
  <x:si>
    <x:t xml:space="preserve">C17,C18</x:t>
  </x:si>
  <x:si>
    <x:t xml:space="preserve">220uF ±20% 63V</x:t>
  </x:si>
  <x:si>
    <x:t xml:space="preserve">插件,D10xL15mm</x:t>
  </x:si>
  <x:si>
    <x:t xml:space="preserve">容值：220uF 精度：±20% 额定电压：63V 纹波电流：3.1A@100kHz 等效串联电阻(ESR)：18mΩ@100kHz 类型：聚合物 脚间距：5mm 电容体直径：10mm 电容体长度：15mm 工作寿命：2000hrs@105℃ 工作温度：-55℃~+105℃ 极性类型：有极性</x:t>
  </x:si>
  <x:si>
    <x:t xml:space="preserve">https://item.szlcsc.com/48680148.html</x:t>
  </x:si>
  <x:si>
    <x:t xml:space="preserve">400</x:t>
  </x:si>
  <x:si>
    <x:t xml:space="preserve">18622</x:t>
  </x:si>
  <x:si>
    <x:t xml:space="preserve">3.2395</x:t>
  </x:si>
  <x:si>
    <x:t xml:space="preserve">NCD0603R1</x:t>
  </x:si>
  <x:si>
    <x:t xml:space="preserve">国星光电</x:t>
  </x:si>
  <x:si>
    <x:t xml:space="preserve">LED0603-RD_RED</x:t>
  </x:si>
  <x:si>
    <x:t xml:space="preserve">C84263</x:t>
  </x:si>
  <x:si>
    <x:t xml:space="preserve">16</x:t>
  </x:si>
  <x:si>
    <x:t xml:space="preserve">L1,L5,L3,L4</x:t>
  </x:si>
  <x:si>
    <x:t xml:space="preserve">片式发光二极管</x:t>
  </x:si>
  <x:si>
    <x:t xml:space="preserve">灯头类型：1mmx0.8mm方形灯头 发光颜色：红色 正向压降(Vf)：1.6V~2.6V 功率：65mW 测试电流：25mA 波长：615nm~630nm 峰值波长：630nm 二极管配置：独立二极管 透镜颜色：无色透明透镜 色温：- 发光强度：220mcd 发光角度：130° 载带方式：正贴 工作温度：-30℃~+85℃ 半波宽：15nm 发光材料：- 光通量(25℃)：- 抗静电能力：-</x:t>
  </x:si>
  <x:si>
    <x:t xml:space="preserve">光电器件</x:t>
  </x:si>
  <x:si>
    <x:t xml:space="preserve">https://item.szlcsc.com/85432.html</x:t>
  </x:si>
  <x:si>
    <x:t xml:space="preserve">1722250</x:t>
  </x:si>
  <x:si>
    <x:t xml:space="preserve">0.0648</x:t>
  </x:si>
  <x:si>
    <x:t xml:space="preserve">BSC014N06NS</x:t>
  </x:si>
  <x:si>
    <x:t xml:space="preserve">Infineon(英飞凌)</x:t>
  </x:si>
  <x:si>
    <x:t xml:space="preserve">POWERVDFN-8_L6.2-W5.2-P1.27-LS6.0-BL</x:t>
  </x:si>
  <x:si>
    <x:t xml:space="preserve">C113391</x:t>
  </x:si>
  <x:si>
    <x:t xml:space="preserve">17</x:t>
  </x:si>
  <x:si>
    <x:t xml:space="preserve">Q4</x:t>
  </x:si>
  <x:si>
    <x:t xml:space="preserve">1个N沟道 耐压:60V 电流:100A</x:t>
  </x:si>
  <x:si>
    <x:t xml:space="preserve">TDSON-8-FL</x:t>
  </x:si>
  <x:si>
    <x:t xml:space="preserve">数量：1个N沟道 漏源电压(Vdss)：60V 连续漏极电流(Id)：100A 导通电阻(RDS(on))：1.45mΩ@10V 耗散功率(Pd)：156W 阈值电压(Vgs(th))：3.3V 栅极电荷量(Qg)：104nC@10V 输入电容(Ciss)：8.125nF 反向传输电容(Crss)：118pF 工作温度：-55℃~+150℃ 配置：- 类型：N沟道 输出电容(Coss)：1.875nF 栅极电压(Vgs)：±20V</x:t>
  </x:si>
  <x:si>
    <x:t xml:space="preserve">https://item.szlcsc.com/114626.html</x:t>
  </x:si>
  <x:si>
    <x:t xml:space="preserve">30000</x:t>
  </x:si>
  <x:si>
    <x:t xml:space="preserve">9.12</x:t>
  </x:si>
  <x:si>
    <x:t xml:space="preserve">STM32G431RBT6</x:t>
  </x:si>
  <x:si>
    <x:t xml:space="preserve">ST(意法半导体)</x:t>
  </x:si>
  <x:si>
    <x:t xml:space="preserve">LQFP-64_L10.0-W10.0-P0.50-LS12.0-BL</x:t>
  </x:si>
  <x:si>
    <x:t xml:space="preserve">C431633</x:t>
  </x:si>
  <x:si>
    <x:t xml:space="preserve">18</x:t>
  </x:si>
  <x:si>
    <x:t xml:space="preserve">U2</x:t>
  </x:si>
  <x:si>
    <x:t xml:space="preserve">带DSP和FPU的170MHz主流ARM Cortex-M4 MCU，具有128 KB Flash存储器、数学加速器和中等模拟电平集成</x:t>
  </x:si>
  <x:si>
    <x:t xml:space="preserve">LQFP-64(10x10)</x:t>
  </x:si>
  <x:si>
    <x:t xml:space="preserve">CPU内核：ARM Cortex-M4F CPU最大主频：170MHz CPU位数：32 Bit 程序存储容量：128KB 程序存储器类型：FLASH RAM容量：32KB EEPROM容量：- I/O数量：52 ADC(位数)：12bit DAC(位数)：12bit 振荡器类型：内置 工作电压：1.71V~3.6V 工作温度：-40℃~+85℃</x:t>
  </x:si>
  <x:si>
    <x:t xml:space="preserve">单片机/微控制器</x:t>
  </x:si>
  <x:si>
    <x:t xml:space="preserve">https://item.szlcsc.com/428111.html</x:t>
  </x:si>
  <x:si>
    <x:t xml:space="preserve">160</x:t>
  </x:si>
  <x:si>
    <x:t xml:space="preserve">468</x:t>
  </x:si>
  <x:si>
    <x:t xml:space="preserve">30.43</x:t>
  </x:si>
  <x:si>
    <x:t xml:space="preserve">CC0603FRNPO9BN330</x:t>
  </x:si>
  <x:si>
    <x:t xml:space="preserve">C519485</x:t>
  </x:si>
  <x:si>
    <x:t xml:space="preserve">19</x:t>
  </x:si>
  <x:si>
    <x:t xml:space="preserve">33pF</x:t>
  </x:si>
  <x:si>
    <x:t xml:space="preserve">C35,C34</x:t>
  </x:si>
  <x:si>
    <x:t xml:space="preserve">33pF ±1% 50V</x:t>
  </x:si>
  <x:si>
    <x:t xml:space="preserve">容值：33pF 精度：±1% 额定电压：50V 温度系数：NP0</x:t>
  </x:si>
  <x:si>
    <x:t xml:space="preserve">https://item.szlcsc.com/536156.html</x:t>
  </x:si>
  <x:si>
    <x:t xml:space="preserve">38400</x:t>
  </x:si>
  <x:si>
    <x:t xml:space="preserve">0.1178</x:t>
  </x:si>
  <x:si>
    <x:t xml:space="preserve">CC0603JRNPO9BN560</x:t>
  </x:si>
  <x:si>
    <x:t xml:space="preserve">C107053</x:t>
  </x:si>
  <x:si>
    <x:t xml:space="preserve">56pF</x:t>
  </x:si>
  <x:si>
    <x:t xml:space="preserve">C25</x:t>
  </x:si>
  <x:si>
    <x:t xml:space="preserve">56pF ±5% 50V</x:t>
  </x:si>
  <x:si>
    <x:t xml:space="preserve">容值：56pF 精度：±5% 额定电压：50V 温度系数：NP0</x:t>
  </x:si>
  <x:si>
    <x:t xml:space="preserve">https://item.szlcsc.com/108269.html</x:t>
  </x:si>
  <x:si>
    <x:t xml:space="preserve">720900</x:t>
  </x:si>
  <x:si>
    <x:t xml:space="preserve">0.030616</x:t>
  </x:si>
  <x:si>
    <x:t xml:space="preserve">CL10B332KB8NNNC</x:t>
  </x:si>
  <x:si>
    <x:t xml:space="preserve">SAMSUNG(三星)</x:t>
  </x:si>
  <x:si>
    <x:t xml:space="preserve">C1613</x:t>
  </x:si>
  <x:si>
    <x:t xml:space="preserve">21</x:t>
  </x:si>
  <x:si>
    <x:t xml:space="preserve">3.3nF</x:t>
  </x:si>
  <x:si>
    <x:t xml:space="preserve">C22</x:t>
  </x:si>
  <x:si>
    <x:t xml:space="preserve">3.3nF ±10% 50V</x:t>
  </x:si>
  <x:si>
    <x:t xml:space="preserve">容值：3.3nF 精度：±10% 额定电压：50V 温度系数：X7R</x:t>
  </x:si>
  <x:si>
    <x:t xml:space="preserve">https://item.szlcsc.com/1965.html</x:t>
  </x:si>
  <x:si>
    <x:t xml:space="preserve">162380</x:t>
  </x:si>
  <x:si>
    <x:t xml:space="preserve">0.050292</x:t>
  </x:si>
  <x:si>
    <x:t xml:space="preserve">CL10C222JB8NNNC</x:t>
  </x:si>
  <x:si>
    <x:t xml:space="preserve">C33353</x:t>
  </x:si>
  <x:si>
    <x:t xml:space="preserve">22</x:t>
  </x:si>
  <x:si>
    <x:t xml:space="preserve">2.2nF</x:t>
  </x:si>
  <x:si>
    <x:t xml:space="preserve">C21</x:t>
  </x:si>
  <x:si>
    <x:t xml:space="preserve">2.2nF ±5% 50V</x:t>
  </x:si>
  <x:si>
    <x:t xml:space="preserve">容值：2.2nF 精度：±5% 额定电压：50V 温度系数：C0G</x:t>
  </x:si>
  <x:si>
    <x:t xml:space="preserve">https://item.szlcsc.com/34318.html</x:t>
  </x:si>
  <x:si>
    <x:t xml:space="preserve">17000</x:t>
  </x:si>
  <x:si>
    <x:t xml:space="preserve">0.276309</x:t>
  </x:si>
  <x:si>
    <x:t xml:space="preserve">XC6210B332MR</x:t>
  </x:si>
  <x:si>
    <x:t xml:space="preserve">TOREX(特瑞仕)</x:t>
  </x:si>
  <x:si>
    <x:t xml:space="preserve">TSOT-23-5_L2.9-W1.6-P0.95-LS2.8-BR</x:t>
  </x:si>
  <x:si>
    <x:t xml:space="preserve">C424705</x:t>
  </x:si>
  <x:si>
    <x:t xml:space="preserve">23</x:t>
  </x:si>
  <x:si>
    <x:t xml:space="preserve">U3</x:t>
  </x:si>
  <x:si>
    <x:t xml:space="preserve">3.3V 900mA 6V</x:t>
  </x:si>
  <x:si>
    <x:t xml:space="preserve">SOT-25</x:t>
  </x:si>
  <x:si>
    <x:t xml:space="preserve">输出极性：正极 工作电压：6V 输出电压：3.3V 输出电流：900mA 电源纹波抑制比(PSRR)：60dB@(1kHz) 压差：75mV@(100mA) 静态电流(Iq)：35uA 噪声：- 功能特性：使能控制；过流保护；短路保护；热关断 工作温度：-40℃~+85℃@(Ta) 输出类型：固定 输出通道数：1</x:t>
  </x:si>
  <x:si>
    <x:t xml:space="preserve">电源管理</x:t>
  </x:si>
  <x:si>
    <x:t xml:space="preserve">https://item.szlcsc.com/418424.html</x:t>
  </x:si>
  <x:si>
    <x:t xml:space="preserve">352</x:t>
  </x:si>
  <x:si>
    <x:t xml:space="preserve">2.47</x:t>
  </x:si>
  <x:si>
    <x:t xml:space="preserve">FRC0603F1001TS</x:t>
  </x:si>
  <x:si>
    <x:t xml:space="preserve">C2907002</x:t>
  </x:si>
  <x:si>
    <x:t xml:space="preserve">24</x:t>
  </x:si>
  <x:si>
    <x:t xml:space="preserve">R26,R14,R60,R59,R40</x:t>
  </x:si>
  <x:si>
    <x:t xml:space="preserve">厚膜电阻 1kΩ ±1% 100mW</x:t>
  </x:si>
  <x:si>
    <x:t xml:space="preserve">电阻类型：厚膜电阻 阻值：1kΩ 精度：±1% 功率：100mW 工作电压：75V 温度系数：±100ppm/℃ 工作温度：-55℃~+155℃</x:t>
  </x:si>
  <x:si>
    <x:t xml:space="preserve">https://item.szlcsc.com/3180515.html</x:t>
  </x:si>
  <x:si>
    <x:t xml:space="preserve">12577000</x:t>
  </x:si>
  <x:si>
    <x:t xml:space="preserve">0.016245</x:t>
  </x:si>
  <x:si>
    <x:t xml:space="preserve">0603WAF0000T5E</x:t>
  </x:si>
  <x:si>
    <x:t xml:space="preserve">C21189</x:t>
  </x:si>
  <x:si>
    <x:t xml:space="preserve">25</x:t>
  </x:si>
  <x:si>
    <x:t xml:space="preserve">0Ω</x:t>
  </x:si>
  <x:si>
    <x:t xml:space="preserve">R34,R33,R27</x:t>
  </x:si>
  <x:si>
    <x:t xml:space="preserve">厚膜电阻 0Ω ±1% 100mW</x:t>
  </x:si>
  <x:si>
    <x:t xml:space="preserve">电阻类型：厚膜电阻 阻值：0Ω 精度：±1% 功率：100mW 工作电压：75V 温度系数：- 工作温度：-55℃~+155℃</x:t>
  </x:si>
  <x:si>
    <x:t xml:space="preserve">https://item.szlcsc.com/21903.html</x:t>
  </x:si>
  <x:si>
    <x:t xml:space="preserve">13746800</x:t>
  </x:si>
  <x:si>
    <x:t xml:space="preserve">0.0158</x:t>
  </x:si>
  <x:si>
    <x:t xml:space="preserve">FRC0603F1002TS</x:t>
  </x:si>
  <x:si>
    <x:t xml:space="preserve">C2906982</x:t>
  </x:si>
  <x:si>
    <x:t xml:space="preserve">26</x:t>
  </x:si>
  <x:si>
    <x:t xml:space="preserve">10kΩ</x:t>
  </x:si>
  <x:si>
    <x:t xml:space="preserve">R25,R38,R31,R67,R61,R62,R63,R41,R2</x:t>
  </x:si>
  <x:si>
    <x:t xml:space="preserve">厚膜电阻 10kΩ ±1% 100mW</x:t>
  </x:si>
  <x:si>
    <x:t xml:space="preserve">电阻类型：厚膜电阻 阻值：10kΩ 精度：±1% 功率：100mW 工作电压：75V 温度系数：±100ppm/℃ 工作温度：-55℃~+155℃</x:t>
  </x:si>
  <x:si>
    <x:t xml:space="preserve">https://item.szlcsc.com/3180495.html</x:t>
  </x:si>
  <x:si>
    <x:t xml:space="preserve">5314700</x:t>
  </x:si>
  <x:si>
    <x:t xml:space="preserve">0.02109</x:t>
  </x:si>
  <x:si>
    <x:t xml:space="preserve">0603WAF1202T5E</x:t>
  </x:si>
  <x:si>
    <x:t xml:space="preserve">C22790</x:t>
  </x:si>
  <x:si>
    <x:t xml:space="preserve">27</x:t>
  </x:si>
  <x:si>
    <x:t xml:space="preserve">12kΩ</x:t>
  </x:si>
  <x:si>
    <x:t xml:space="preserve">R39,R32,R5,R46,R51</x:t>
  </x:si>
  <x:si>
    <x:t xml:space="preserve">厚膜电阻 12kΩ ±1% 100mW</x:t>
  </x:si>
  <x:si>
    <x:t xml:space="preserve">电阻类型：厚膜电阻 阻值：12kΩ 精度：±1% 功率：100mW 工作电压：75V 温度系数：±100ppm/℃ 工作温度：-55℃~+155℃</x:t>
  </x:si>
  <x:si>
    <x:t xml:space="preserve">https://item.szlcsc.com/23517.html</x:t>
  </x:si>
  <x:si>
    <x:t xml:space="preserve">987000</x:t>
  </x:si>
  <x:si>
    <x:t xml:space="preserve">0.0201</x:t>
  </x:si>
  <x:si>
    <x:t xml:space="preserve">0603WAF6202T5E</x:t>
  </x:si>
  <x:si>
    <x:t xml:space="preserve">C23221</x:t>
  </x:si>
  <x:si>
    <x:t xml:space="preserve">28</x:t>
  </x:si>
  <x:si>
    <x:t xml:space="preserve">62kΩ</x:t>
  </x:si>
  <x:si>
    <x:t xml:space="preserve">R36</x:t>
  </x:si>
  <x:si>
    <x:t xml:space="preserve">厚膜电阻 62kΩ ±1% 100mW</x:t>
  </x:si>
  <x:si>
    <x:t xml:space="preserve">电阻类型：厚膜电阻 阻值：62kΩ 精度：±1% 功率：100mW 工作电压：75V 温度系数：±100ppm/℃ 工作温度：-55℃~+155℃</x:t>
  </x:si>
  <x:si>
    <x:t xml:space="preserve">https://item.szlcsc.com/23948.html</x:t>
  </x:si>
  <x:si>
    <x:t xml:space="preserve">414600</x:t>
  </x:si>
  <x:si>
    <x:t xml:space="preserve">0.0192</x:t>
  </x:si>
  <x:si>
    <x:t xml:space="preserve">JW5026</x:t>
  </x:si>
  <x:si>
    <x:t xml:space="preserve">Joulwatt(杰华特)</x:t>
  </x:si>
  <x:si>
    <x:t xml:space="preserve">SOT-23-6_L2.9-W1.6-P0.95-LS2.8-BR</x:t>
  </x:si>
  <x:si>
    <x:t xml:space="preserve">C185109</x:t>
  </x:si>
  <x:si>
    <x:t xml:space="preserve">29</x:t>
  </x:si>
  <x:si>
    <x:t xml:space="preserve">U5</x:t>
  </x:si>
  <x:si>
    <x:t xml:space="preserve">降压型 1A 4.7V~40V</x:t>
  </x:si>
  <x:si>
    <x:t xml:space="preserve">SOT-23-6</x:t>
  </x:si>
  <x:si>
    <x:t xml:space="preserve">功能类型：降压型 工作电压：4.7V~40V 输出电压：800mV~37V 输出电流：1A 开关频率：750kHz~1.25MHz 工作温度：-40℃~+125℃@(TJ) 同步整流：是 输出通道数：1 拓扑结构：降压式 静态电流(Iq)：40uA 开关管(内置/外置)：内置 输出类型：可调 功能特性：逐波限流；过流保护</x:t>
  </x:si>
  <x:si>
    <x:t xml:space="preserve">https://item.szlcsc.com/196514.html</x:t>
  </x:si>
  <x:si>
    <x:t xml:space="preserve">7.71</x:t>
  </x:si>
  <x:si>
    <x:t xml:space="preserve">MPIH252010-4R7M-LF</x:t>
  </x:si>
  <x:si>
    <x:t xml:space="preserve">microgate(麦捷科技)</x:t>
  </x:si>
  <x:si>
    <x:t xml:space="preserve">IND-SMD_L2.5-W2.0_SWPA252012S</x:t>
  </x:si>
  <x:si>
    <x:t xml:space="preserve">C490449</x:t>
  </x:si>
  <x:si>
    <x:t xml:space="preserve">30</x:t>
  </x:si>
  <x:si>
    <x:t xml:space="preserve">4.7uH</x:t>
  </x:si>
  <x:si>
    <x:t xml:space="preserve">L7</x:t>
  </x:si>
  <x:si>
    <x:t xml:space="preserve">4.7uH ±20%</x:t>
  </x:si>
  <x:si>
    <x:t xml:space="preserve">1008</x:t>
  </x:si>
  <x:si>
    <x:t xml:space="preserve">电感值：4.7uH 精度：±20% 额定电流：1A 饱和电流(Isat)：1.15A 直流电阻(DCR)：275mΩ</x:t>
  </x:si>
  <x:si>
    <x:t xml:space="preserve">电感/线圈/变压器</x:t>
  </x:si>
  <x:si>
    <x:t xml:space="preserve">https://item.szlcsc.com/500954.html</x:t>
  </x:si>
  <x:si>
    <x:t xml:space="preserve">2000</x:t>
  </x:si>
  <x:si>
    <x:t xml:space="preserve">760</x:t>
  </x:si>
  <x:si>
    <x:t xml:space="preserve">0.2721</x:t>
  </x:si>
  <x:si>
    <x:t xml:space="preserve">CYA0650-68UH</x:t>
  </x:si>
  <x:si>
    <x:t xml:space="preserve">SHOU HAN(首韩)</x:t>
  </x:si>
  <x:si>
    <x:t xml:space="preserve">IND-SMD_L7.2-W6.6_GPSR07X0</x:t>
  </x:si>
  <x:si>
    <x:t xml:space="preserve">C5189964</x:t>
  </x:si>
  <x:si>
    <x:t xml:space="preserve">31</x:t>
  </x:si>
  <x:si>
    <x:t xml:space="preserve">L2</x:t>
  </x:si>
  <x:si>
    <x:t xml:space="preserve">68uH ±20%</x:t>
  </x:si>
  <x:si>
    <x:t xml:space="preserve">SMD,7.2x6.6mm</x:t>
  </x:si>
  <x:si>
    <x:t xml:space="preserve">电感值：68uH 精度：±20% 额定电流：1.8A 饱和电流(Isat)：2A 直流电阻(DCR)：315mΩ</x:t>
  </x:si>
  <x:si>
    <x:t xml:space="preserve">https://item.szlcsc.com/5870261.html</x:t>
  </x:si>
  <x:si>
    <x:t xml:space="preserve">26555</x:t>
  </x:si>
  <x:si>
    <x:t xml:space="preserve">1.83521</x:t>
  </x:si>
  <x:si>
    <x:t xml:space="preserve">0603WAF4992T5E</x:t>
  </x:si>
  <x:si>
    <x:t xml:space="preserve">C23184</x:t>
  </x:si>
  <x:si>
    <x:t xml:space="preserve">32</x:t>
  </x:si>
  <x:si>
    <x:t xml:space="preserve">49.9kΩ</x:t>
  </x:si>
  <x:si>
    <x:t xml:space="preserve">R29</x:t>
  </x:si>
  <x:si>
    <x:t xml:space="preserve">厚膜电阻 49.9kΩ ±1% 100mW</x:t>
  </x:si>
  <x:si>
    <x:t xml:space="preserve">电阻类型：厚膜电阻 阻值：49.9kΩ 精度：±1% 功率：100mW 工作电压：75V 温度系数：±100ppm/℃ 工作温度：-55℃~+155℃</x:t>
  </x:si>
  <x:si>
    <x:t xml:space="preserve">https://item.szlcsc.com/23911.html</x:t>
  </x:si>
  <x:si>
    <x:t xml:space="preserve">1789100</x:t>
  </x:si>
  <x:si>
    <x:t xml:space="preserve">0.0202</x:t>
  </x:si>
  <x:si>
    <x:t xml:space="preserve">FRC0603F4533TS</x:t>
  </x:si>
  <x:si>
    <x:t xml:space="preserve">C3013202</x:t>
  </x:si>
  <x:si>
    <x:t xml:space="preserve">33</x:t>
  </x:si>
  <x:si>
    <x:t xml:space="preserve">453kΩ</x:t>
  </x:si>
  <x:si>
    <x:t xml:space="preserve">R16,R13</x:t>
  </x:si>
  <x:si>
    <x:t xml:space="preserve">厚膜电阻 453kΩ ±1% 100mW</x:t>
  </x:si>
  <x:si>
    <x:t xml:space="preserve">电阻类型：厚膜电阻 阻值：453kΩ 精度：±1% 功率：100mW 工作电压：75V 温度系数：±100ppm/℃ 工作温度：-55℃~+155℃</x:t>
  </x:si>
  <x:si>
    <x:t xml:space="preserve">https://item.szlcsc.com/3519486.html</x:t>
  </x:si>
  <x:si>
    <x:t xml:space="preserve">306100</x:t>
  </x:si>
  <x:si>
    <x:t xml:space="preserve">0.015675</x:t>
  </x:si>
  <x:si>
    <x:t xml:space="preserve">CGA0805X5R106K500MT</x:t>
  </x:si>
  <x:si>
    <x:t xml:space="preserve">HRE(芯声)</x:t>
  </x:si>
  <x:si>
    <x:t xml:space="preserve">C0805</x:t>
  </x:si>
  <x:si>
    <x:t xml:space="preserve">C6119889</x:t>
  </x:si>
  <x:si>
    <x:t xml:space="preserve">34</x:t>
  </x:si>
  <x:si>
    <x:t xml:space="preserve">C28,C27,C37,C38,C39,C66,C67,C68,C44</x:t>
  </x:si>
  <x:si>
    <x:t xml:space="preserve">10uF ±10% 50V</x:t>
  </x:si>
  <x:si>
    <x:t xml:space="preserve">容值：10uF 精度：±10% 额定电压：50V 温度系数：X5R</x:t>
  </x:si>
  <x:si>
    <x:t xml:space="preserve">https://item.szlcsc.com/7062595.html</x:t>
  </x:si>
  <x:si>
    <x:t xml:space="preserve">35595</x:t>
  </x:si>
  <x:si>
    <x:t xml:space="preserve">0.7647</x:t>
  </x:si>
  <x:si>
    <x:t xml:space="preserve">CGA0603X5R105K500JT</x:t>
  </x:si>
  <x:si>
    <x:t xml:space="preserve">C6119852</x:t>
  </x:si>
  <x:si>
    <x:t xml:space="preserve">35</x:t>
  </x:si>
  <x:si>
    <x:t xml:space="preserve">1uF</x:t>
  </x:si>
  <x:si>
    <x:t xml:space="preserve">C1,C77,C53,C69,C30,C31,C88,C89</x:t>
  </x:si>
  <x:si>
    <x:t xml:space="preserve">无法匹配</x:t>
  </x:si>
  <x:si>
    <x:t xml:space="preserve">LM5164DDAR</x:t>
  </x:si>
  <x:si>
    <x:t xml:space="preserve">TI(德州仪器)</x:t>
  </x:si>
  <x:si>
    <x:t xml:space="preserve">SO-8_L4.9-W3.9-P1.27-LS6.0-BL-EP</x:t>
  </x:si>
  <x:si>
    <x:t xml:space="preserve">C477928</x:t>
  </x:si>
  <x:si>
    <x:t xml:space="preserve">36</x:t>
  </x:si>
  <x:si>
    <x:t xml:space="preserve">U6</x:t>
  </x:si>
  <x:si>
    <x:t xml:space="preserve">降压型 1A 6V~100V</x:t>
  </x:si>
  <x:si>
    <x:t xml:space="preserve">SO-8-EP</x:t>
  </x:si>
  <x:si>
    <x:t xml:space="preserve">功能类型：降压型 工作电压：6V~100V 输出电压：- 输出电流：1A 开关频率：1MHz 工作温度：-40℃~+150℃@(TJ) 同步整流：是 输出通道数：1 拓扑结构：降压式 静态电流(Iq)：10.5uA 开关管(内置/外置)：内置 输出类型：可调 功能特性：轻载高效模式；内置LDO稳压器；逐波限流；过流保护；工作状态指示</x:t>
  </x:si>
  <x:si>
    <x:t xml:space="preserve">https://item.szlcsc.com/485030.html</x:t>
  </x:si>
  <x:si>
    <x:t xml:space="preserve">2500</x:t>
  </x:si>
  <x:si>
    <x:t xml:space="preserve">867</x:t>
  </x:si>
  <x:si>
    <x:t xml:space="preserve">12.16</x:t>
  </x:si>
  <x:si>
    <x:t xml:space="preserve">CL10B104KC8NNNC</x:t>
  </x:si>
  <x:si>
    <x:t xml:space="preserve">C15725</x:t>
  </x:si>
  <x:si>
    <x:t xml:space="preserve">37</x:t>
  </x:si>
  <x:si>
    <x:t xml:space="preserve">C24,C71</x:t>
  </x:si>
  <x:si>
    <x:t xml:space="preserve">100nF ±10% 100V</x:t>
  </x:si>
  <x:si>
    <x:t xml:space="preserve">容值：100nF 精度：±10% 额定电压：100V 温度系数：X7R</x:t>
  </x:si>
  <x:si>
    <x:t xml:space="preserve">https://item.szlcsc.com/16407.html</x:t>
  </x:si>
  <x:si>
    <x:t xml:space="preserve">1306550</x:t>
  </x:si>
  <x:si>
    <x:t xml:space="preserve">0.0812</x:t>
  </x:si>
  <x:si>
    <x:t xml:space="preserve">LP5907QMFX-3.3Q1</x:t>
  </x:si>
  <x:si>
    <x:t xml:space="preserve">SOT-23-5_L3.0-W1.7-P0.95-LS2.8-BR</x:t>
  </x:si>
  <x:si>
    <x:t xml:space="preserve">C130005</x:t>
  </x:si>
  <x:si>
    <x:t xml:space="preserve">38</x:t>
  </x:si>
  <x:si>
    <x:t xml:space="preserve">U4</x:t>
  </x:si>
  <x:si>
    <x:t xml:space="preserve">3.3V 250mA 5.5V</x:t>
  </x:si>
  <x:si>
    <x:t xml:space="preserve">SOT-23-5</x:t>
  </x:si>
  <x:si>
    <x:t xml:space="preserve">输出极性：正极 工作电压：5.5V 输出电压：3.3V 输出电流：250mA 电源纹波抑制比(PSRR)：82dB@(1kHz) 压差：120mV@(250mA) 静态电流(Iq)：12uA 噪声：10uVrms 功能特性：热关断；使能控制；输出放电；短路保护；输入欠压保护 工作温度：-40℃~+125℃@(Tj) 输出类型：固定 输出通道数：1</x:t>
  </x:si>
  <x:si>
    <x:t xml:space="preserve">https://item.szlcsc.com/141292.html</x:t>
  </x:si>
  <x:si>
    <x:t xml:space="preserve">6241</x:t>
  </x:si>
  <x:si>
    <x:t xml:space="preserve">4.38</x:t>
  </x:si>
  <x:si>
    <x:t xml:space="preserve">TS-KG02S</x:t>
  </x:si>
  <x:si>
    <x:t xml:space="preserve">HANBO(汉博)</x:t>
  </x:si>
  <x:si>
    <x:t xml:space="preserve">SW-SMD_4P-L6.0-W6.0-P4.50-LS8.5</x:t>
  </x:si>
  <x:si>
    <x:t xml:space="preserve">C410366</x:t>
  </x:si>
  <x:si>
    <x:t xml:space="preserve">39</x:t>
  </x:si>
  <x:si>
    <x:t xml:space="preserve">K1,K2</x:t>
  </x:si>
  <x:si>
    <x:t xml:space="preserve">6*6*4.3mm 立贴 轻触开关</x:t>
  </x:si>
  <x:si>
    <x:t xml:space="preserve">SMD-4P,6x6mm</x:t>
  </x:si>
  <x:si>
    <x:t xml:space="preserve">电路结构：单刀单掷 按钮形状：圆形按钮 安装方式：立贴 开关长度：6mm 开关宽度：6mm 开关高度：4.3mm 带支架：不带支架 触点电流：50mA 额定电压：12V 带灯：无 引脚样式：鸥翼型 工作寿命：- 工作温度：-20℃~+70℃</x:t>
  </x:si>
  <x:si>
    <x:t xml:space="preserve">按键/开关</x:t>
  </x:si>
  <x:si>
    <x:t xml:space="preserve">https://item.szlcsc.com/400809.html</x:t>
  </x:si>
  <x:si>
    <x:t xml:space="preserve">51980</x:t>
  </x:si>
  <x:si>
    <x:t xml:space="preserve">0.237215</x:t>
  </x:si>
  <x:si>
    <x:t xml:space="preserve">NCD0603G1</x:t>
  </x:si>
  <x:si>
    <x:t xml:space="preserve">LED0603-RD_1</x:t>
  </x:si>
  <x:si>
    <x:t xml:space="preserve">C84267</x:t>
  </x:si>
  <x:si>
    <x:t xml:space="preserve">40</x:t>
  </x:si>
  <x:si>
    <x:t xml:space="preserve">L10</x:t>
  </x:si>
  <x:si>
    <x:t xml:space="preserve">灯头类型：1mmx0.8mm方形灯头 发光颜色：翠绿色 正向压降(Vf)：2.6V~3.6V 功率：72mW 测试电流：20mA 波长：515nm~530nm 峰值波长：520nm 二极管配置：独立二极管 透镜颜色：无色透明透镜 色温：- 发光强度：900mcd 发光角度：130° 载带方式：正贴 工作温度：-30℃~+85℃ 半波宽：30nm 发光材料：- 光通量(25℃)：- 抗静电能力：-</x:t>
  </x:si>
  <x:si>
    <x:t xml:space="preserve">https://item.szlcsc.com/85436.html</x:t>
  </x:si>
  <x:si>
    <x:t xml:space="preserve">591900</x:t>
  </x:si>
  <x:si>
    <x:t xml:space="preserve">0.0976</x:t>
  </x:si>
  <x:si>
    <x:t xml:space="preserve">WAFER-GH1.25-7PWB</x:t>
  </x:si>
  <x:si>
    <x:t xml:space="preserve">XUNPU(讯普)</x:t>
  </x:si>
  <x:si>
    <x:t xml:space="preserve">CONN-SMD_7P-P1.25_FWF12514-S07B24W5M</x:t>
  </x:si>
  <x:si>
    <x:t xml:space="preserve">C3029382</x:t>
  </x:si>
  <x:si>
    <x:t xml:space="preserve">41</x:t>
  </x:si>
  <x:si>
    <x:t xml:space="preserve">CN9</x:t>
  </x:si>
  <x:si>
    <x:t xml:space="preserve">1x7P 间距:1.25mm 卧贴 系列:GH</x:t>
  </x:si>
  <x:si>
    <x:t xml:space="preserve">SMD,P=1.25mm,卧贴</x:t>
  </x:si>
  <x:si>
    <x:t xml:space="preserve">插针结构：1x7P 间距：1.25mm 安装方式：卧贴 参考系列：GH 总PIN数：7P 排数：1 每排PIN数：7 行距：- 额定电流：1A 触头材质：黄铜 触头镀层：锡 工作温度：-25℃~+85℃ 额定电压：125V 塑料材质：LCP 阻燃等级：- 附加特征：辅助焊脚 颜色：米色 Z轴-板上高度：4.35mm X轴-板上底边长度(间距线)：12mm Y轴-板上底边宽度：5mm</x:t>
  </x:si>
  <x:si>
    <x:t xml:space="preserve">连接器</x:t>
  </x:si>
  <x:si>
    <x:t xml:space="preserve">https://item.szlcsc.com/3561394.html</x:t>
  </x:si>
  <x:si>
    <x:t xml:space="preserve">7985</x:t>
  </x:si>
  <x:si>
    <x:t xml:space="preserve">1.02524</x:t>
  </x:si>
  <x:si>
    <x:t xml:space="preserve">FRC0603F22R0TS</x:t>
  </x:si>
  <x:si>
    <x:t xml:space="preserve">C2930077</x:t>
  </x:si>
  <x:si>
    <x:t xml:space="preserve">42</x:t>
  </x:si>
  <x:si>
    <x:t xml:space="preserve">22Ω</x:t>
  </x:si>
  <x:si>
    <x:t xml:space="preserve">R50,R64,R65,R66,R35,R44,R54,R68,R69</x:t>
  </x:si>
  <x:si>
    <x:t xml:space="preserve">厚膜电阻 22Ω ±1% 100mW</x:t>
  </x:si>
  <x:si>
    <x:t xml:space="preserve">电阻类型：厚膜电阻 阻值：22Ω 精度：±1% 功率：100mW 工作电压：75V 温度系数：±100ppm/℃ 工作温度：-55℃~+155℃</x:t>
  </x:si>
  <x:si>
    <x:t xml:space="preserve">https://item.szlcsc.com/3267010.html</x:t>
  </x:si>
  <x:si>
    <x:t xml:space="preserve">2294500</x:t>
  </x:si>
  <x:si>
    <x:t xml:space="preserve">0.014915</x:t>
  </x:si>
  <x:si>
    <x:t xml:space="preserve">ESD9B5.0ST5G</x:t>
  </x:si>
  <x:si>
    <x:t xml:space="preserve">SOD-923_L0.8-W0.6-LS1.0-BI</x:t>
  </x:si>
  <x:si>
    <x:t xml:space="preserve">C111566</x:t>
  </x:si>
  <x:si>
    <x:t xml:space="preserve">43</x:t>
  </x:si>
  <x:si>
    <x:t xml:space="preserve">D1,D2,D3,D4,D11</x:t>
  </x:si>
  <x:si>
    <x:t xml:space="preserve">双向TVS 5V截止</x:t>
  </x:si>
  <x:si>
    <x:t xml:space="preserve">SOD-923</x:t>
  </x:si>
  <x:si>
    <x:t xml:space="preserve">极性：双向 反向截止电压(Vrwm)：5V 钳位电压：15V 峰值脉冲功率(Ppp)：- 击穿电压(VBR)：7.8V 反向电流(Ir)：100nA 通道数：单路 工作温度：-55℃~+150℃ 防护等级：IEC 61000-4-2 类型：TVS Cj-结电容：15pF</x:t>
  </x:si>
  <x:si>
    <x:t xml:space="preserve">https://item.szlcsc.com/112793.html</x:t>
  </x:si>
  <x:si>
    <x:t xml:space="preserve">8000</x:t>
  </x:si>
  <x:si>
    <x:t xml:space="preserve">322400</x:t>
  </x:si>
  <x:si>
    <x:t xml:space="preserve">0.2799</x:t>
  </x:si>
  <x:si>
    <x:t xml:space="preserve">2.54-2A-LT</x:t>
  </x:si>
  <x:si>
    <x:t xml:space="preserve">CAX(创都)</x:t>
  </x:si>
  <x:si>
    <x:t xml:space="preserve">CONN-SMD_2P-P2.54_XH2.54-2AB</x:t>
  </x:si>
  <x:si>
    <x:t xml:space="preserve">C722695</x:t>
  </x:si>
  <x:si>
    <x:t xml:space="preserve">44</x:t>
  </x:si>
  <x:si>
    <x:t xml:space="preserve">CN10</x:t>
  </x:si>
  <x:si>
    <x:t xml:space="preserve">1x2P 间距:2.54mm 立贴 系列:XH</x:t>
  </x:si>
  <x:si>
    <x:t xml:space="preserve">SMD,P=2.54mm</x:t>
  </x:si>
  <x:si>
    <x:t xml:space="preserve">插针结构：1x2P 间距：2.54mm 安装方式：立贴 参考系列：XH 总PIN数：2P 排数：1 每排PIN数：2 行距：- 额定电流：500mA 触头材质：磷铜 触头镀层：锡 工作温度：-25℃~+85℃ 额定电压：50V 塑料材质：LCP 颜色：米色 Z轴-板上高度：7.9mm Y轴-板上底边宽度：6mm</x:t>
  </x:si>
  <x:si>
    <x:t xml:space="preserve">https://item.szlcsc.com/766902.html</x:t>
  </x:si>
  <x:si>
    <x:t xml:space="preserve">58</x:t>
  </x:si>
  <x:si>
    <x:t xml:space="preserve">32857</x:t>
  </x:si>
  <x:si>
    <x:t xml:space="preserve">0.30628</x:t>
  </x:si>
  <x:si>
    <x:t xml:space="preserve">RT0805BRD0710KL</x:t>
  </x:si>
  <x:si>
    <x:t xml:space="preserve">C110775</x:t>
  </x:si>
  <x:si>
    <x:t xml:space="preserve">45</x:t>
  </x:si>
  <x:si>
    <x:t xml:space="preserve">R10</x:t>
  </x:si>
  <x:si>
    <x:t xml:space="preserve">薄膜电阻 10kΩ ±0.1% 125mW</x:t>
  </x:si>
  <x:si>
    <x:t xml:space="preserve">电阻类型：薄膜电阻 阻值：10kΩ 精度：±0.1% 功率：125mW 工作电压：150V 温度系数：±25ppm/℃ 工作温度：-55℃~+155℃</x:t>
  </x:si>
  <x:si>
    <x:t xml:space="preserve">https://item.szlcsc.com/112000.html</x:t>
  </x:si>
  <x:si>
    <x:t xml:space="preserve">734240</x:t>
  </x:si>
  <x:si>
    <x:t xml:space="preserve">0.25726</x:t>
  </x:si>
  <x:si>
    <x:t xml:space="preserve">0603WAF2200T5E</x:t>
  </x:si>
  <x:si>
    <x:t xml:space="preserve">C22962</x:t>
  </x:si>
  <x:si>
    <x:t xml:space="preserve">46</x:t>
  </x:si>
  <x:si>
    <x:t xml:space="preserve">220Ω</x:t>
  </x:si>
  <x:si>
    <x:t xml:space="preserve">R55</x:t>
  </x:si>
  <x:si>
    <x:t xml:space="preserve">厚膜电阻 220Ω ±1% 100mW</x:t>
  </x:si>
  <x:si>
    <x:t xml:space="preserve">电阻类型：厚膜电阻 阻值：220Ω 精度：±1% 功率：100mW 工作电压：75V 温度系数：±100ppm/℃ 工作温度：-55℃~+155℃</x:t>
  </x:si>
  <x:si>
    <x:t xml:space="preserve">https://item.szlcsc.com/23689.html</x:t>
  </x:si>
  <x:si>
    <x:t xml:space="preserve">933600</x:t>
  </x:si>
  <x:si>
    <x:t xml:space="preserve">0.0307</x:t>
  </x:si>
  <x:si>
    <x:t xml:space="preserve">X32258MSB4SI</x:t>
  </x:si>
  <x:si>
    <x:t xml:space="preserve">YXC(扬兴晶振)</x:t>
  </x:si>
  <x:si>
    <x:t xml:space="preserve">CRYSTAL-SMD_4P-L3.2-W2.5-BL</x:t>
  </x:si>
  <x:si>
    <x:t xml:space="preserve">C2682774</x:t>
  </x:si>
  <x:si>
    <x:t xml:space="preserve">47</x:t>
  </x:si>
  <x:si>
    <x:t xml:space="preserve">8MHz</x:t>
  </x:si>
  <x:si>
    <x:t xml:space="preserve">X1</x:t>
  </x:si>
  <x:si>
    <x:t xml:space="preserve">YSX321SL 8MHZ 4P 3225 20PF ±10PPM -40~85℃ (±20PPM)</x:t>
  </x:si>
  <x:si>
    <x:t xml:space="preserve">SMD3225-4P</x:t>
  </x:si>
  <x:si>
    <x:t xml:space="preserve">晶振类型：贴片晶振 频率：8MHz 常温频差：±10ppm 负载电容：20pF 频率稳定度：±20ppm 等效串联电阻(ESR)：180Ω 工作温度：-40℃~+85℃</x:t>
  </x:si>
  <x:si>
    <x:t xml:space="preserve">振荡器/谐振器</x:t>
  </x:si>
  <x:si>
    <x:t xml:space="preserve">https://item.szlcsc.com/2777871.html</x:t>
  </x:si>
  <x:si>
    <x:t xml:space="preserve">72900</x:t>
  </x:si>
  <x:si>
    <x:t xml:space="preserve">1.1883</x:t>
  </x:si>
  <x:si>
    <x:t xml:space="preserve">LT3763EFE#PBF</x:t>
  </x:si>
  <x:si>
    <x:t xml:space="preserve">ADI(亚德诺)</x:t>
  </x:si>
  <x:si>
    <x:t xml:space="preserve">TSSOP-28_L9.7-W4.4-P0.65-LS6.4-BL-EP-1</x:t>
  </x:si>
  <x:si>
    <x:t xml:space="preserve">C459912</x:t>
  </x:si>
  <x:si>
    <x:t xml:space="preserve">48</x:t>
  </x:si>
  <x:si>
    <x:t xml:space="preserve">U1</x:t>
  </x:si>
  <x:si>
    <x:t xml:space="preserve">60V 高电流降压型 LED 驱动器控制器</x:t>
  </x:si>
  <x:si>
    <x:t xml:space="preserve">TSSOP-28-EP</x:t>
  </x:si>
  <x:si>
    <x:t xml:space="preserve">类型：DC-DC 工作电压(DC)：6V~60V 开关频率：200kHz~1MHz 通道数：1 输出电压：55V 输出电流：20A 调光：PWM 功能特性：过压保护(OVP)；LED开路保护；内置软启动；过温保护(OTP)；短路保护(SCP) 拓扑结构：降压 工作温度：-40℃~+125℃ 开关管(内置/外置)：外置 恒流精度：6%</x:t>
  </x:si>
  <x:si>
    <x:t xml:space="preserve">数码管驱动/LED驱动</x:t>
  </x:si>
  <x:si>
    <x:t xml:space="preserve">https://item.szlcsc.com/464238.html</x:t>
  </x:si>
  <x:si>
    <x:t xml:space="preserve">317</x:t>
  </x:si>
  <x:si>
    <x:t xml:space="preserve">85.27</x:t>
  </x:si>
  <x:si>
    <x:t xml:space="preserve">RT0603BRD0710KL</x:t>
  </x:si>
  <x:si>
    <x:t xml:space="preserve">C95204</x:t>
  </x:si>
  <x:si>
    <x:t xml:space="preserve">49</x:t>
  </x:si>
  <x:si>
    <x:t xml:space="preserve">R49</x:t>
  </x:si>
  <x:si>
    <x:t xml:space="preserve">薄膜电阻 10kΩ ±0.1% 100mW</x:t>
  </x:si>
  <x:si>
    <x:t xml:space="preserve">电阻类型：薄膜电阻 阻值：10kΩ 精度：±0.1% 功率：100mW 工作电压：75V 温度系数：±25ppm/℃ 工作温度：-55℃~+155℃</x:t>
  </x:si>
  <x:si>
    <x:t xml:space="preserve">https://item.szlcsc.com/96405.html</x:t>
  </x:si>
  <x:si>
    <x:t xml:space="preserve">243240</x:t>
  </x:si>
  <x:si>
    <x:t xml:space="preserve">0.18894</x:t>
  </x:si>
  <x:si>
    <x:t xml:space="preserve">FRC0603F6341TS</x:t>
  </x:si>
  <x:si>
    <x:t xml:space="preserve">C2930120</x:t>
  </x:si>
  <x:si>
    <x:t xml:space="preserve">6.34kΩ</x:t>
  </x:si>
  <x:si>
    <x:t xml:space="preserve">R53</x:t>
  </x:si>
  <x:si>
    <x:t xml:space="preserve">厚膜电阻 6.34kΩ ±1% 100mW</x:t>
  </x:si>
  <x:si>
    <x:t xml:space="preserve">电阻类型：厚膜电阻 阻值：6.34kΩ 精度：±1% 功率：100mW 工作电压：75V 温度系数：±100ppm/℃ 工作温度：-55℃~+155℃</x:t>
  </x:si>
  <x:si>
    <x:t xml:space="preserve">https://item.szlcsc.com/3267053.html</x:t>
  </x:si>
  <x:si>
    <x:t xml:space="preserve">50000</x:t>
  </x:si>
  <x:si>
    <x:t xml:space="preserve">0.0133</x:t>
  </x:si>
  <x:si>
    <x:t xml:space="preserve">0603WAF2202T5E</x:t>
  </x:si>
  <x:si>
    <x:t xml:space="preserve">C31850</x:t>
  </x:si>
  <x:si>
    <x:t xml:space="preserve">51</x:t>
  </x:si>
  <x:si>
    <x:t xml:space="preserve">R3</x:t>
  </x:si>
  <x:si>
    <x:t xml:space="preserve">https://item.szlcsc.com/32812.html</x:t>
  </x:si>
  <x:si>
    <x:t xml:space="preserve">3402400</x:t>
  </x:si>
  <x:si>
    <x:t xml:space="preserve">0.0272</x:t>
  </x:si>
  <x:si>
    <x:t xml:space="preserve">FCC0603B334K500CT</x:t>
  </x:si>
  <x:si>
    <x:t xml:space="preserve">C7419419</x:t>
  </x:si>
  <x:si>
    <x:t xml:space="preserve">52</x:t>
  </x:si>
  <x:si>
    <x:t xml:space="preserve">330nF</x:t>
  </x:si>
  <x:si>
    <x:t xml:space="preserve">C72</x:t>
  </x:si>
  <x:si>
    <x:t xml:space="preserve">330nF ±10% 50V</x:t>
  </x:si>
  <x:si>
    <x:t xml:space="preserve">容值：330nF 精度：±10% 额定电压：50V 温度系数：X7R 工作温度：-55℃~+125℃</x:t>
  </x:si>
  <x:si>
    <x:t xml:space="preserve">https://item.szlcsc.com/8393401.html</x:t>
  </x:si>
  <x:si>
    <x:t xml:space="preserve">224800</x:t>
  </x:si>
  <x:si>
    <x:t xml:space="preserve">0.090345</x:t>
  </x:si>
  <x:si>
    <x:t xml:space="preserve">FRC0603F2213TS</x:t>
  </x:si>
  <x:si>
    <x:t xml:space="preserve">C7467463</x:t>
  </x:si>
  <x:si>
    <x:t xml:space="preserve">53</x:t>
  </x:si>
  <x:si>
    <x:t xml:space="preserve">221kΩ</x:t>
  </x:si>
  <x:si>
    <x:t xml:space="preserve">R22</x:t>
  </x:si>
  <x:si>
    <x:t xml:space="preserve">厚膜电阻 221kΩ ±1% 100mW</x:t>
  </x:si>
  <x:si>
    <x:t xml:space="preserve">电阻类型：厚膜电阻 阻值：221kΩ 精度：±1% 功率：100mW 工作电压：75V 温度系数：±100ppm/℃ 工作温度：-55℃~+155℃</x:t>
  </x:si>
  <x:si>
    <x:t xml:space="preserve">https://item.szlcsc.com/8514079.html</x:t>
  </x:si>
  <x:si>
    <x:t xml:space="preserve">41200</x:t>
  </x:si>
  <x:si>
    <x:t xml:space="preserve">0.012635</x:t>
  </x:si>
  <x:si>
    <x:t xml:space="preserve">FRC0603F10R0TS</x:t>
  </x:si>
  <x:si>
    <x:t xml:space="preserve">C2906983</x:t>
  </x:si>
  <x:si>
    <x:t xml:space="preserve">54</x:t>
  </x:si>
  <x:si>
    <x:t xml:space="preserve">10Ω</x:t>
  </x:si>
  <x:si>
    <x:t xml:space="preserve">R23,R24</x:t>
  </x:si>
  <x:si>
    <x:t xml:space="preserve">厚膜电阻 10Ω ±1% 100mW</x:t>
  </x:si>
  <x:si>
    <x:t xml:space="preserve">电阻类型：厚膜电阻 阻值：10Ω 精度：±1% 功率：100mW 工作电压：75V 温度系数：±100ppm/℃ 工作温度：-55℃~+155℃</x:t>
  </x:si>
  <x:si>
    <x:t xml:space="preserve">https://item.szlcsc.com/3180496.html</x:t>
  </x:si>
  <x:si>
    <x:t xml:space="preserve">2761400</x:t>
  </x:si>
  <x:si>
    <x:t xml:space="preserve">0.014345</x:t>
  </x:si>
  <x:si>
    <x:t xml:space="preserve">CC0603KRX7R9BB333</x:t>
  </x:si>
  <x:si>
    <x:t xml:space="preserve">C106856</x:t>
  </x:si>
  <x:si>
    <x:t xml:space="preserve">55</x:t>
  </x:si>
  <x:si>
    <x:t xml:space="preserve">33nF</x:t>
  </x:si>
  <x:si>
    <x:t xml:space="preserve">C49</x:t>
  </x:si>
  <x:si>
    <x:t xml:space="preserve">33nF ±10% 50V</x:t>
  </x:si>
  <x:si>
    <x:t xml:space="preserve">容值：33nF 精度：±10% 额定电压：50V 温度系数：X7R</x:t>
  </x:si>
  <x:si>
    <x:t xml:space="preserve">https://item.szlcsc.com/108072.html</x:t>
  </x:si>
  <x:si>
    <x:t xml:space="preserve">2451700</x:t>
  </x:si>
  <x:si>
    <x:t xml:space="preserve">0.0371</x:t>
  </x:si>
  <x:si>
    <x:t xml:space="preserve">0603WAF1203T5E</x:t>
  </x:si>
  <x:si>
    <x:t xml:space="preserve">C25808</x:t>
  </x:si>
  <x:si>
    <x:t xml:space="preserve">56</x:t>
  </x:si>
  <x:si>
    <x:t xml:space="preserve">120kΩ</x:t>
  </x:si>
  <x:si>
    <x:t xml:space="preserve">R52</x:t>
  </x:si>
  <x:si>
    <x:t xml:space="preserve">厚膜电阻 120kΩ ±1% 100mW</x:t>
  </x:si>
  <x:si>
    <x:t xml:space="preserve">电阻类型：厚膜电阻 阻值：120kΩ 精度：±1% 功率：100mW 工作电压：75V 温度系数：±100ppm/℃ 工作温度：-55℃~+155℃</x:t>
  </x:si>
  <x:si>
    <x:t xml:space="preserve">https://item.szlcsc.com/26551.html</x:t>
  </x:si>
  <x:si>
    <x:t xml:space="preserve">403100</x:t>
  </x:si>
  <x:si>
    <x:t xml:space="preserve">0.0129</x:t>
  </x:si>
  <x:si>
    <x:t xml:space="preserve">HNTC0603-104F3950FB</x:t>
  </x:si>
  <x:si>
    <x:t xml:space="preserve">C49247668</x:t>
  </x:si>
  <x:si>
    <x:t xml:space="preserve">57</x:t>
  </x:si>
  <x:si>
    <x:t xml:space="preserve">R56</x:t>
  </x:si>
  <x:si>
    <x:t xml:space="preserve">片式NTC热敏电阻</x:t>
  </x:si>
  <x:si>
    <x:t xml:space="preserve">功率：100mW 阻值：100kΩ 电阻精度：±1% B值精度：±1% B值(25℃/50℃)：3950K B值(25℃/75℃)：- B值(25℃/85℃)：- B值(25℃/100℃)：- 最大稳态电流(25℃)：100uA 耗散系数：1mW/℃ 热时间常数：5s 工作温度：-40℃~+125℃ 直径(φD)：- 长度：1.6mm 宽度：0.8mm 高度：0.8mm 脚间距：0.3mm</x:t>
  </x:si>
  <x:si>
    <x:t xml:space="preserve">传感器</x:t>
  </x:si>
  <x:si>
    <x:t xml:space="preserve">https://item.szlcsc.com/51678321.html</x:t>
  </x:si>
  <x:si>
    <x:t xml:space="preserve">82600</x:t>
  </x:si>
  <x:si>
    <x:t xml:space="preserve">0.192</x:t>
  </x:si>
  <x:si>
    <x:t xml:space="preserve">FRH0603B2002TS</x:t>
  </x:si>
  <x:si>
    <x:t xml:space="preserve">C49196669</x:t>
  </x:si>
  <x:si>
    <x:t xml:space="preserve">20kΩ</x:t>
  </x:si>
  <x:si>
    <x:t xml:space="preserve">R57</x:t>
  </x:si>
  <x:si>
    <x:t xml:space="preserve">厚膜电阻 20kΩ ±0.1% 100mW</x:t>
  </x:si>
  <x:si>
    <x:t xml:space="preserve">电阻类型：厚膜电阻 阻值：20kΩ 精度：±0.1% 功率：100mW 工作电压：75V 温度系数：±100ppm/℃ 工作温度：-55℃~+155℃</x:t>
  </x:si>
  <x:si>
    <x:t xml:space="preserve">https://item.szlcsc.com/51598967.html</x:t>
  </x:si>
  <x:si>
    <x:t xml:space="preserve">256200</x:t>
  </x:si>
  <x:si>
    <x:t xml:space="preserve">0.059185</x:t>
  </x:si>
  <x:si>
    <x:t xml:space="preserve">HGC1210R5476M250NSVK</x:t>
  </x:si>
  <x:si>
    <x:t xml:space="preserve">Chinocera(华瓷)</x:t>
  </x:si>
  <x:si>
    <x:t xml:space="preserve">C7432791</x:t>
  </x:si>
  <x:si>
    <x:t xml:space="preserve">59</x:t>
  </x:si>
  <x:si>
    <x:t xml:space="preserve">47uF</x:t>
  </x:si>
  <x:si>
    <x:t xml:space="preserve">C75,C85,C86</x:t>
  </x:si>
  <x:si>
    <x:t xml:space="preserve">47uF ±20% 25V</x:t>
  </x:si>
  <x:si>
    <x:t xml:space="preserve">容值：47uF 精度：±20% 额定电压：25V 温度系数：X5R</x:t>
  </x:si>
  <x:si>
    <x:t xml:space="preserve">https://item.szlcsc.com/8438273.html</x:t>
  </x:si>
  <x:si>
    <x:t xml:space="preserve">146438</x:t>
  </x:si>
  <x:si>
    <x:t xml:space="preserve">2.3</x:t>
  </x:si>
  <x:si>
    <x:t xml:space="preserve">DSS110</x:t>
  </x:si>
  <x:si>
    <x:t xml:space="preserve">BORN(伯恩半导体)</x:t>
  </x:si>
  <x:si>
    <x:t xml:space="preserve">SOD-123_L2.8-W1.8-LS3.7-RD</x:t>
  </x:si>
  <x:si>
    <x:t xml:space="preserve">C511869</x:t>
  </x:si>
  <x:si>
    <x:t xml:space="preserve">60</x:t>
  </x:si>
  <x:si>
    <x:t xml:space="preserve">D9</x:t>
  </x:si>
  <x:si>
    <x:t xml:space="preserve">电压:100V 电流:1A</x:t>
  </x:si>
  <x:si>
    <x:t xml:space="preserve">二极管配置：1个独立式 正向压降(Vf)：850mV@2A 直流反向耐压(Vr)：100V 整流电流：1A 反向电流(Ir)：500uA@100V 工作结温范围：-55℃~+125℃ 非重复峰值浪涌电流 (Ifsm)：25A</x:t>
  </x:si>
  <x:si>
    <x:t xml:space="preserve">https://item.szlcsc.com/526334.html</x:t>
  </x:si>
  <x:si>
    <x:t xml:space="preserve">35820</x:t>
  </x:si>
  <x:si>
    <x:t xml:space="preserve">0.217</x:t>
  </x:si>
  <x:si>
    <x:t xml:space="preserve">CL10B224KA8NNNC</x:t>
  </x:si>
  <x:si>
    <x:t xml:space="preserve">C21120</x:t>
  </x:si>
  <x:si>
    <x:t xml:space="preserve">61</x:t>
  </x:si>
  <x:si>
    <x:t xml:space="preserve">220nF</x:t>
  </x:si>
  <x:si>
    <x:t xml:space="preserve">C76</x:t>
  </x:si>
  <x:si>
    <x:t xml:space="preserve">220nF ±10% 25V</x:t>
  </x:si>
  <x:si>
    <x:t xml:space="preserve">容值：220nF 精度：±10% 额定电压：25V 温度系数：X7R</x:t>
  </x:si>
  <x:si>
    <x:t xml:space="preserve">https://item.szlcsc.com/21832.html</x:t>
  </x:si>
  <x:si>
    <x:t xml:space="preserve">541600</x:t>
  </x:si>
  <x:si>
    <x:t xml:space="preserve">0.103</x:t>
  </x:si>
  <x:si>
    <x:t xml:space="preserve">FS32X475K101EGG</x:t>
  </x:si>
  <x:si>
    <x:t xml:space="preserve">C381466</x:t>
  </x:si>
  <x:si>
    <x:t xml:space="preserve">62</x:t>
  </x:si>
  <x:si>
    <x:t xml:space="preserve">4.7uF</x:t>
  </x:si>
  <x:si>
    <x:t xml:space="preserve">C47</x:t>
  </x:si>
  <x:si>
    <x:t xml:space="preserve">4.7uF ±10% 100V</x:t>
  </x:si>
  <x:si>
    <x:t xml:space="preserve">容值：4.7uF 精度：±10% 额定电压：100V 温度系数：X7R</x:t>
  </x:si>
  <x:si>
    <x:t xml:space="preserve">https://item.szlcsc.com/354087.html</x:t>
  </x:si>
  <x:si>
    <x:t xml:space="preserve">210450</x:t>
  </x:si>
  <x:si>
    <x:t xml:space="preserve">1.4905</x:t>
  </x:si>
  <x:si>
    <x:t xml:space="preserve">SS510</x:t>
  </x:si>
  <x:si>
    <x:t xml:space="preserve">SMA_L4.3-W2.6-LS5.0-RD</x:t>
  </x:si>
  <x:si>
    <x:t xml:space="preserve">C18199171</x:t>
  </x:si>
  <x:si>
    <x:t xml:space="preserve">63</x:t>
  </x:si>
  <x:si>
    <x:t xml:space="preserve">D5</x:t>
  </x:si>
  <x:si>
    <x:t xml:space="preserve">电压:100V 电流:5A</x:t>
  </x:si>
  <x:si>
    <x:t xml:space="preserve">SMA(DO-214AC)</x:t>
  </x:si>
  <x:si>
    <x:t xml:space="preserve">二极管配置：独立式 正向压降(Vf)：850mV@5A 直流反向耐压(Vr)：100V 整流电流：5A 反向电流(Ir)：50uA@100V 工作结温范围：-55℃~+150℃ 非重复峰值浪涌电流 (Ifsm)：120A</x:t>
  </x:si>
  <x:si>
    <x:t xml:space="preserve">https://item.szlcsc.com/19354403.html</x:t>
  </x:si>
  <x:si>
    <x:t xml:space="preserve">42910</x:t>
  </x:si>
  <x:si>
    <x:t xml:space="preserve">0.4973</x:t>
  </x:si>
  <x:si>
    <x:t xml:space="preserve">SS56</x:t>
  </x:si>
  <x:si>
    <x:t xml:space="preserve">C18199169</x:t>
  </x:si>
  <x:si>
    <x:t xml:space="preserve">64</x:t>
  </x:si>
  <x:si>
    <x:t xml:space="preserve">D10</x:t>
  </x:si>
  <x:si>
    <x:t xml:space="preserve">电压:60V 电流:5A</x:t>
  </x:si>
  <x:si>
    <x:t xml:space="preserve">二极管配置：独立式 正向压降(Vf)：700mV@5A 直流反向耐压(Vr)：60V 整流电流：5A 反向电流(Ir)：200uA@60V 工作结温范围：-55℃~+125℃ 非重复峰值浪涌电流 (Ifsm)：120A</x:t>
  </x:si>
  <x:si>
    <x:t xml:space="preserve">https://item.szlcsc.com/19354401.html</x:t>
  </x:si>
  <x:si>
    <x:t xml:space="preserve">610480</x:t>
  </x:si>
  <x:si>
    <x:t xml:space="preserve">0.3604</x:t>
  </x:si>
  <x:si>
    <x:t xml:space="preserve">CL10A225KA8NNNC</x:t>
  </x:si>
  <x:si>
    <x:t xml:space="preserve">C57895</x:t>
  </x:si>
  <x:si>
    <x:t xml:space="preserve">65</x:t>
  </x:si>
  <x:si>
    <x:t xml:space="preserve">2.2uF</x:t>
  </x:si>
  <x:si>
    <x:t xml:space="preserve">C2</x:t>
  </x:si>
  <x:si>
    <x:t xml:space="preserve">2.2uF ±10% 25V</x:t>
  </x:si>
  <x:si>
    <x:t xml:space="preserve">容值：2.2uF 精度：±10% 额定电压：25V 温度系数：X5R</x:t>
  </x:si>
  <x:si>
    <x:t xml:space="preserve">https://item.szlcsc.com/58932.html</x:t>
  </x:si>
  <x:si>
    <x:t xml:space="preserve">430600</x:t>
  </x:si>
  <x:si>
    <x:t xml:space="preserve">0.0858</x:t>
  </x:si>
  <x:si>
    <x:t xml:space="preserve">RT0603BRD07232KL</x:t>
  </x:si>
  <x:si>
    <x:t xml:space="preserve">C861240</x:t>
  </x:si>
  <x:si>
    <x:t xml:space="preserve">66</x:t>
  </x:si>
  <x:si>
    <x:t xml:space="preserve">232kΩ</x:t>
  </x:si>
  <x:si>
    <x:t xml:space="preserve">R30</x:t>
  </x:si>
  <x:si>
    <x:t xml:space="preserve">薄膜电阻 232kΩ ±0.1% 100mW</x:t>
  </x:si>
  <x:si>
    <x:t xml:space="preserve">电阻类型：薄膜电阻 阻值：232kΩ 精度：±0.1% 功率：100mW 温度系数：±25ppm/℃ 工作温度：-55℃~+155℃</x:t>
  </x:si>
  <x:si>
    <x:t xml:space="preserve">https://item.szlcsc.com/921578.html</x:t>
  </x:si>
  <x:si>
    <x:t xml:space="preserve">200</x:t>
  </x:si>
  <x:si>
    <x:t xml:space="preserve">0.2149</x:t>
  </x:si>
  <x:si>
    <x:t xml:space="preserve">WSLP25122L500FEA</x:t>
  </x:si>
  <x:si>
    <x:t xml:space="preserve">C1518127</x:t>
  </x:si>
  <x:si>
    <x:t xml:space="preserve">67</x:t>
  </x:si>
  <x:si>
    <x:t xml:space="preserve">2.5mΩ</x:t>
  </x:si>
  <x:si>
    <x:t xml:space="preserve">R12,R1</x:t>
  </x:si>
  <x:si>
    <x:t xml:space="preserve">2.5mΩ ±1% 3W</x:t>
  </x:si>
  <x:si>
    <x:t xml:space="preserve">电阻类型：采样电阻 阻值：2.5mΩ 精度：±1% 最大工作电压：- 功率：3W 额定电流：- 温度系数：±275ppm/℃ 安装方式：贴片</x:t>
  </x:si>
  <x:si>
    <x:t xml:space="preserve">https://item.szlcsc.com/1608924.html</x:t>
  </x:si>
  <x:si>
    <x:t xml:space="preserve">3.22</x:t>
  </x:si>
  <x:si>
    <x:t xml:space="preserve">MTP2915-6R8MC</x:t>
  </x:si>
  <x:si>
    <x:t xml:space="preserve">COILMX(迈翔科技)</x:t>
  </x:si>
  <x:si>
    <x:t xml:space="preserve">IND-SMD_3P-L28.0-W27.0</x:t>
  </x:si>
  <x:si>
    <x:t xml:space="preserve">C881788</x:t>
  </x:si>
  <x:si>
    <x:t xml:space="preserve">68</x:t>
  </x:si>
  <x:si>
    <x:t xml:space="preserve">6.8uH</x:t>
  </x:si>
  <x:si>
    <x:t xml:space="preserve">L6</x:t>
  </x:si>
  <x:si>
    <x:t xml:space="preserve">6.8uH ±20% 40A</x:t>
  </x:si>
  <x:si>
    <x:t xml:space="preserve">SMD-3P,28x27mm</x:t>
  </x:si>
  <x:si>
    <x:t xml:space="preserve">电感值：6.8uH 精度：±20% 额定电流：30A 饱和电流(Isat)：40A 直流电阻(DCR)：2mΩ 类型：扁线绕线电感</x:t>
  </x:si>
  <x:si>
    <x:t xml:space="preserve">https://item.szlcsc.com/945166.html</x:t>
  </x:si>
  <x:si>
    <x:t xml:space="preserve">15.05</x:t>
  </x:si>
  <x:si>
    <x:t xml:space="preserve">FRC0603F1822TS</x:t>
  </x:si>
  <x:si>
    <x:t xml:space="preserve">C2933164</x:t>
  </x:si>
  <x:si>
    <x:t xml:space="preserve">69</x:t>
  </x:si>
  <x:si>
    <x:t xml:space="preserve">18.2kΩ</x:t>
  </x:si>
  <x:si>
    <x:t xml:space="preserve">R4</x:t>
  </x:si>
  <x:si>
    <x:t xml:space="preserve">厚膜电阻 18.2kΩ ±1% 100mW</x:t>
  </x:si>
  <x:si>
    <x:t xml:space="preserve">电阻类型：厚膜电阻 阻值：18.2kΩ 精度：±1% 功率：100mW 工作电压：75V 温度系数：±100ppm/℃ 工作温度：-55℃~+155℃</x:t>
  </x:si>
  <x:si>
    <x:t xml:space="preserve">https://item.szlcsc.com/3279266.html</x:t>
  </x:si>
  <x:si>
    <x:t xml:space="preserve">253200</x:t>
  </x:si>
  <x:si>
    <x:t xml:space="preserve">0.016625</x:t>
  </x:si>
  <x:si>
    <x:t xml:space="preserve">CGA3E1C0G2A103JT0Y0E</x:t>
  </x:si>
  <x:si>
    <x:t xml:space="preserve">TDK</x:t>
  </x:si>
  <x:si>
    <x:t xml:space="preserve">C432938</x:t>
  </x:si>
  <x:si>
    <x:t xml:space="preserve">70</x:t>
  </x:si>
  <x:si>
    <x:t xml:space="preserve">10nF</x:t>
  </x:si>
  <x:si>
    <x:t xml:space="preserve">C42</x:t>
  </x:si>
  <x:si>
    <x:t xml:space="preserve">10nF ±5% 100V</x:t>
  </x:si>
  <x:si>
    <x:t xml:space="preserve">容值：10nF 精度：±5% 额定电压：100V 温度系数：C0G</x:t>
  </x:si>
  <x:si>
    <x:t xml:space="preserve">https://item.szlcsc.com/429890.html</x:t>
  </x:si>
  <x:si>
    <x:t xml:space="preserve">1400</x:t>
  </x:si>
  <x:si>
    <x:t xml:space="preserve">0.6458</x:t>
  </x:si>
  <x:si>
    <x:t xml:space="preserve">25121WF2201T4E</x:t>
  </x:si>
  <x:si>
    <x:t xml:space="preserve">C421608</x:t>
  </x:si>
  <x:si>
    <x:t xml:space="preserve">71</x:t>
  </x:si>
  <x:si>
    <x:t xml:space="preserve">2.2kΩ</x:t>
  </x:si>
  <x:si>
    <x:t xml:space="preserve">R37</x:t>
  </x:si>
  <x:si>
    <x:t xml:space="preserve">厚膜电阻 2.2kΩ ±1% 1W</x:t>
  </x:si>
  <x:si>
    <x:t xml:space="preserve">电阻类型：厚膜电阻 阻值：2.2kΩ 精度：±1% 功率：1W 工作电压：200V 温度系数：±100ppm/℃ 工作温度：-55℃~+155℃</x:t>
  </x:si>
  <x:si>
    <x:t xml:space="preserve">https://item.szlcsc.com/414558.html</x:t>
  </x:si>
  <x:si>
    <x:t xml:space="preserve">26770</x:t>
  </x:si>
  <x:si>
    <x:t xml:space="preserve">0.3333</x:t>
  </x:si>
  <x:si>
    <x:t xml:space="preserve">PA63V470M10X17</x:t>
  </x:si>
  <x:si>
    <x:t xml:space="preserve">CAP-TH_BD10.0-P5.00-D0.6-FD-A</x:t>
  </x:si>
  <x:si>
    <x:t xml:space="preserve">C49232909</x:t>
  </x:si>
  <x:si>
    <x:t xml:space="preserve">72</x:t>
  </x:si>
  <x:si>
    <x:t xml:space="preserve">470uF</x:t>
  </x:si>
  <x:si>
    <x:t xml:space="preserve">C59</x:t>
  </x:si>
  <x:si>
    <x:t xml:space="preserve">470uF ±20% 63V</x:t>
  </x:si>
  <x:si>
    <x:t xml:space="preserve">插件,D10xL17mm</x:t>
  </x:si>
  <x:si>
    <x:t xml:space="preserve">容值：470uF 精度：±20% 额定电压：63V 纹波电流：4.1A@100kHz 等效串联电阻(ESR)：18mΩ@100kHz 类型：聚合物 脚间距：5mm 电容体直径：10mm 电容体长度：17mm 工作寿命：2000hrs@105℃ 工作温度：-55℃~+105℃ 极性类型：有极性</x:t>
  </x:si>
  <x:si>
    <x:t xml:space="preserve">https://item.szlcsc.com/51647988.html</x:t>
  </x:si>
  <x:si>
    <x:t xml:space="preserve">44368</x:t>
  </x:si>
  <x:si>
    <x:t xml:space="preserve">3.743</x:t>
  </x:si>
  <x:si>
    <x:t xml:space="preserve">TLP2761(D4-TP4,E</x:t>
  </x:si>
  <x:si>
    <x:t xml:space="preserve">TOSHIBA(东芝)</x:t>
  </x:si>
  <x:si>
    <x:t xml:space="preserve">SOP-6_L7.5-W3.8-P1.27-LS11.1-BL</x:t>
  </x:si>
  <x:si>
    <x:t xml:space="preserve">C24267845</x:t>
  </x:si>
  <x:si>
    <x:t xml:space="preserve">73</x:t>
  </x:si>
  <x:si>
    <x:t xml:space="preserve">U8</x:t>
  </x:si>
  <x:si>
    <x:t xml:space="preserve">TLP2761(D4-TP4,E(T</x:t>
  </x:si>
  <x:si>
    <x:t xml:space="preserve">SO-6L</x:t>
  </x:si>
  <x:si>
    <x:t xml:space="preserve">输入类型：DC 工作电压：2.7V~5.5V 隔离电压(Vrms)：5kV CMTI(kV/us)：20kV/us 传输速率：15Mbps CTR-电流传输比：- 通道数：1 工作温度：-40℃~+125℃ 传播延迟 tpLH：80ns 传播延迟 tpHL：80ns 输入阈值电流(FH)：1.6mA 输出电流：10mA 耗散功率(Pd)：20mW 输出电压：6V 正向压降(Vf)：1.5V 直流反向耐压(Vr)：5V 正向电流(If)：10mA 功能特性：-</x:t>
  </x:si>
  <x:si>
    <x:t xml:space="preserve">光耦</x:t>
  </x:si>
  <x:si>
    <x:t xml:space="preserve">https://item.szlcsc.com/25997706.html</x:t>
  </x:si>
  <x:si>
    <x:t xml:space="preserve">1500</x:t>
  </x:si>
  <x:si>
    <x:t xml:space="preserve">283</x:t>
  </x:si>
  <x:si>
    <x:t xml:space="preserve">7.09</x:t>
  </x:si>
  <x:si>
    <x:t xml:space="preserve">RT0603BRD078K2L</x:t>
  </x:si>
  <x:si>
    <x:t xml:space="preserve">C861589</x:t>
  </x:si>
  <x:si>
    <x:t xml:space="preserve">74</x:t>
  </x:si>
  <x:si>
    <x:t xml:space="preserve">8.2kΩ</x:t>
  </x:si>
  <x:si>
    <x:t xml:space="preserve">R19</x:t>
  </x:si>
  <x:si>
    <x:t xml:space="preserve">薄膜电阻 8.2kΩ ±0.1% 100mW</x:t>
  </x:si>
  <x:si>
    <x:t xml:space="preserve">电阻类型：薄膜电阻 阻值：8.2kΩ 精度：±0.1% 功率：100mW 工作电压：75V 温度系数：±25ppm/℃ 工作温度：-55℃~+155℃</x:t>
  </x:si>
  <x:si>
    <x:t xml:space="preserve">https://item.szlcsc.com/921927.html</x:t>
  </x:si>
  <x:si>
    <x:t xml:space="preserve">17330</x:t>
  </x:si>
  <x:si>
    <x:t xml:space="preserve">0.289</x:t>
  </x:si>
  <x:si>
    <x:t xml:space="preserve">1N4148WS-E3-08</x:t>
  </x:si>
  <x:si>
    <x:t xml:space="preserve">SOD-323_L1.8-W1.3-LS2.7-RD</x:t>
  </x:si>
  <x:si>
    <x:t xml:space="preserve">C129905</x:t>
  </x:si>
  <x:si>
    <x:t xml:space="preserve">75</x:t>
  </x:si>
  <x:si>
    <x:t xml:space="preserve">D13</x:t>
  </x:si>
  <x:si>
    <x:t xml:space="preserve">75V 150mA</x:t>
  </x:si>
  <x:si>
    <x:t xml:space="preserve">SOD-323</x:t>
  </x:si>
  <x:si>
    <x:t xml:space="preserve">二极管配置：1个独立式 耗散功率(Pd)：200mW 整流电流：150mA 直流反向耐压(Vr)：75V 正向压降(Vf)：1.2V@100mA 非重复峰值浪涌电流 (Ifsm)：350mA 反向电流(Ir)：100uA@100V 反向恢复时间(Trr)：4ns 工作结温范围：-55℃~+150℃</x:t>
  </x:si>
  <x:si>
    <x:t xml:space="preserve">https://item.szlcsc.com/141192.html</x:t>
  </x:si>
  <x:si>
    <x:t xml:space="preserve">231050</x:t>
  </x:si>
  <x:si>
    <x:t xml:space="preserve">0.3623</x:t>
  </x:si>
  <x:si>
    <x:t xml:space="preserve">DB301V-3.5-2P-GN-S</x:t>
  </x:si>
  <x:si>
    <x:t xml:space="preserve">DORABO(地博电气)</x:t>
  </x:si>
  <x:si>
    <x:t xml:space="preserve">CONN-TH_DB301V-3.5-2P-GN</x:t>
  </x:si>
  <x:si>
    <x:t xml:space="preserve">C695629</x:t>
  </x:si>
  <x:si>
    <x:t xml:space="preserve">76</x:t>
  </x:si>
  <x:si>
    <x:t xml:space="preserve">U9</x:t>
  </x:si>
  <x:si>
    <x:t xml:space="preserve">1x2P 3.5mm 直插 排数:1 每排P数:2</x:t>
  </x:si>
  <x:si>
    <x:t xml:space="preserve">插件,P=3.5mm</x:t>
  </x:si>
  <x:si>
    <x:t xml:space="preserve">结构：1x2P 间距：3.5mm 颜色：绿色 安装类型：直插 总PIN数：2P 排数：1 每排PIN数：2 螺钉规格：M2 额定电流：7A 额定电压：300V 线规 - AWG：18~24 线规 - 平方毫米：0.5~1 工作温度：-40℃~+105℃ 板上高度：8.5mm</x:t>
  </x:si>
  <x:si>
    <x:t xml:space="preserve">https://item.szlcsc.com/728965.html</x:t>
  </x:si>
  <x:si>
    <x:t xml:space="preserve">404310</x:t>
  </x:si>
  <x:si>
    <x:t xml:space="preserve">0.556695</x:t>
  </x:si>
  <x:si>
    <x:t xml:space="preserve">0805W8F100JT5E</x:t>
  </x:si>
  <x:si>
    <x:t xml:space="preserve">R0805_NEW</x:t>
  </x:si>
  <x:si>
    <x:t xml:space="preserve">C17415</x:t>
  </x:si>
  <x:si>
    <x:t xml:space="preserve">77</x:t>
  </x:si>
  <x:si>
    <x:t xml:space="preserve">R42,R21,R43,R47</x:t>
  </x:si>
  <x:si>
    <x:t xml:space="preserve">厚膜电阻 10Ω ±1% 125mW</x:t>
  </x:si>
  <x:si>
    <x:t xml:space="preserve">电阻类型：厚膜电阻 阻值：10Ω 精度：±1% 功率：125mW 工作电压：150V 温度系数：±200ppm/℃ 工作温度：-55℃~+155℃</x:t>
  </x:si>
  <x:si>
    <x:t xml:space="preserve">https://item.szlcsc.com/18103.html</x:t>
  </x:si>
  <x:si>
    <x:t xml:space="preserve">4999500</x:t>
  </x:si>
  <x:si>
    <x:t xml:space="preserve">0.0261</x:t>
  </x:si>
  <x:si>
    <x:t xml:space="preserve">FS32X105K101EFG</x:t>
  </x:si>
  <x:si>
    <x:t xml:space="preserve">C382212</x:t>
  </x:si>
  <x:si>
    <x:t xml:space="preserve">78</x:t>
  </x:si>
  <x:si>
    <x:t xml:space="preserve">C73,C74,C79,C84,C91,C92,C93</x:t>
  </x:si>
  <x:si>
    <x:t xml:space="preserve">1uF ±10% 100V</x:t>
  </x:si>
  <x:si>
    <x:t xml:space="preserve">容值：1uF 精度：±10% 额定电压：100V 温度系数：X7R</x:t>
  </x:si>
  <x:si>
    <x:t xml:space="preserve">https://item.szlcsc.com/355076.html</x:t>
  </x:si>
  <x:si>
    <x:t xml:space="preserve">358890</x:t>
  </x:si>
  <x:si>
    <x:t xml:space="preserve">0.4966</x:t>
  </x:si>
  <x:si>
    <x:t xml:space="preserve">BSC070N10LS5ATMA1</x:t>
  </x:si>
  <x:si>
    <x:t xml:space="preserve">PG-TDSON-8_L5.0-W6.0-P1.27-BL-EP</x:t>
  </x:si>
  <x:si>
    <x:t xml:space="preserve">C3278731</x:t>
  </x:si>
  <x:si>
    <x:t xml:space="preserve">79</x:t>
  </x:si>
  <x:si>
    <x:t xml:space="preserve">Q2,Q5</x:t>
  </x:si>
  <x:si>
    <x:t xml:space="preserve">1个N沟道 耐压:100V 电流:79A</x:t>
  </x:si>
  <x:si>
    <x:t xml:space="preserve">TDSON-8</x:t>
  </x:si>
  <x:si>
    <x:t xml:space="preserve">数量：1个N沟道 漏源电压(Vdss)：100V 连续漏极电流(Id)：79A 导通电阻(RDS(on))：8.5mΩ@4.5V 耗散功率(Pd)：83W 阈值电压(Vgs(th))：2.3V 栅极电荷量(Qg)：20nC@4.5V 输入电容(Ciss)：2.7nF 反向传输电容(Crss)：28pF 工作温度：-55℃~+150℃ 类型：N沟道 输出电容(Coss)：440pF</x:t>
  </x:si>
  <x:si>
    <x:t xml:space="preserve">https://item.szlcsc.com/3841629.html</x:t>
  </x:si>
  <x:si>
    <x:t xml:space="preserve">1921</x:t>
  </x:si>
  <x:si>
    <x:t xml:space="preserve">11.43</x:t>
  </x:si>
  <x:si>
    <x:t xml:space="preserve">BSC096N10LS5ATMA1</x:t>
  </x:si>
  <x:si>
    <x:t xml:space="preserve">TDSON-8_L5.9-W5.2-P1.27-BL</x:t>
  </x:si>
  <x:si>
    <x:t xml:space="preserve">C3278721</x:t>
  </x:si>
  <x:si>
    <x:t xml:space="preserve">80</x:t>
  </x:si>
  <x:si>
    <x:t xml:space="preserve">Q1,Q6</x:t>
  </x:si>
  <x:si>
    <x:t xml:space="preserve">1个N沟道 耐压:100V 电流:72A</x:t>
  </x:si>
  <x:si>
    <x:t xml:space="preserve">数量：1个N沟道 漏源电压(Vdss)：100V 连续漏极电流(Id)：72A 导通电阻(RDS(on))：9.6mΩ@10V 耗散功率(Pd)：83W 阈值电压(Vgs(th))：2.3V 栅极电荷量(Qg)：14.6nC@4.5V 输入电容(Ciss)：2.1nF 反向传输电容(Crss)：21pF 工作温度：-55℃~+175℃ 配置：- 类型：N沟道 输出电容(Coss)：320pF 栅极电压(Vgs)：±20V</x:t>
  </x:si>
  <x:si>
    <x:t xml:space="preserve">https://item.szlcsc.com/3841619.html</x:t>
  </x:si>
  <x:si>
    <x:t xml:space="preserve">15.42</x:t>
  </x:si>
  <x:si>
    <x:t xml:space="preserve">RT0603BRD07100KL</x:t>
  </x:si>
  <x:si>
    <x:t xml:space="preserve">C122538</x:t>
  </x:si>
  <x:si>
    <x:t xml:space="preserve">81</x:t>
  </x:si>
  <x:si>
    <x:t xml:space="preserve">R58</x:t>
  </x:si>
  <x:si>
    <x:t xml:space="preserve">薄膜电阻 100kΩ ±0.1% 100mW</x:t>
  </x:si>
  <x:si>
    <x:t xml:space="preserve">电阻类型：薄膜电阻 阻值：100kΩ 精度：±0.1% 功率：100mW 工作电压：75V 温度系数：±25ppm/℃ 工作温度：-55℃~+155℃</x:t>
  </x:si>
  <x:si>
    <x:t xml:space="preserve">https://item.szlcsc.com/123807.html</x:t>
  </x:si>
  <x:si>
    <x:t xml:space="preserve">1090060</x:t>
  </x:si>
  <x:si>
    <x:t xml:space="preserve">0.179088</x:t>
  </x:si>
  <x:si>
    <x:t xml:space="preserve">CGA0603X5R475K160JT</x:t>
  </x:si>
  <x:si>
    <x:t xml:space="preserve">C6119855</x:t>
  </x:si>
  <x:si>
    <x:t xml:space="preserve">82</x:t>
  </x:si>
  <x:si>
    <x:t xml:space="preserve">C48</x:t>
  </x:si>
  <x:si>
    <x:t xml:space="preserve">4.7uF ±10% 16V</x:t>
  </x:si>
  <x:si>
    <x:t xml:space="preserve">容值：4.7uF 精度：±10% 额定电压：16V 温度系数：X5R</x:t>
  </x:si>
  <x:si>
    <x:t xml:space="preserve">https://item.szlcsc.com/7062561.html</x:t>
  </x:si>
  <x:si>
    <x:t xml:space="preserve">329500</x:t>
  </x:si>
  <x:si>
    <x:t xml:space="preserve">0.1339</x:t>
  </x:si>
  <x:si>
    <x:t xml:space="preserve">FCC0603B103K500CT</x:t>
  </x:si>
  <x:si>
    <x:t xml:space="preserve">C5137477</x:t>
  </x:si>
  <x:si>
    <x:t xml:space="preserve">83</x:t>
  </x:si>
  <x:si>
    <x:t xml:space="preserve">C90</x:t>
  </x:si>
  <x:si>
    <x:t xml:space="preserve">10nF ±10% 50V</x:t>
  </x:si>
  <x:si>
    <x:t xml:space="preserve">容值：10nF 精度：±10% 额定电压：50V 温度系数：X7R 工作温度：-55℃~+125℃</x:t>
  </x:si>
  <x:si>
    <x:t xml:space="preserve">https://item.szlcsc.com/5746979.html</x:t>
  </x:si>
  <x:si>
    <x:t xml:space="preserve">5757700</x:t>
  </x:si>
  <x:si>
    <x:t xml:space="preserve">0.03924</x:t>
  </x:si>
  <x:si>
    <x:t xml:space="preserve">SMM02070C1009FBP00</x:t>
  </x:si>
  <x:si>
    <x:t xml:space="preserve">RES-SMD_L5.8-W2.2</x:t>
  </x:si>
  <x:si>
    <x:t xml:space="preserve">C5224088</x:t>
  </x:si>
  <x:si>
    <x:t xml:space="preserve">84</x:t>
  </x:si>
  <x:si>
    <x:t xml:space="preserve">R48,R71</x:t>
  </x:si>
  <x:si>
    <x:t xml:space="preserve">薄膜电阻 10Ω ±1% 1W</x:t>
  </x:si>
  <x:si>
    <x:t xml:space="preserve">MELF-0207</x:t>
  </x:si>
  <x:si>
    <x:t xml:space="preserve">电阻类型：薄膜电阻 阻值：10Ω 精度：±1% 功率：1W 温度系数：±50ppm/℃ 工作温度：-55℃~+155℃</x:t>
  </x:si>
  <x:si>
    <x:t xml:space="preserve">https://item.szlcsc.com/5925269.html</x:t>
  </x:si>
  <x:si>
    <x:t xml:space="preserve">3505</x:t>
  </x:si>
  <x:si>
    <x:t xml:space="preserve">0.8557</x:t>
  </x:si>
  <x:si>
    <x:t xml:space="preserve">CC1206JKNPOCBN221</x:t>
  </x:si>
  <x:si>
    <x:t xml:space="preserve">C1206</x:t>
  </x:si>
  <x:si>
    <x:t xml:space="preserve">C107175</x:t>
  </x:si>
  <x:si>
    <x:t xml:space="preserve">85</x:t>
  </x:si>
  <x:si>
    <x:t xml:space="preserve">220pF</x:t>
  </x:si>
  <x:si>
    <x:t xml:space="preserve">C65,C87</x:t>
  </x:si>
  <x:si>
    <x:t xml:space="preserve">220pF ±5% 1kV</x:t>
  </x:si>
  <x:si>
    <x:t xml:space="preserve">1206</x:t>
  </x:si>
  <x:si>
    <x:t xml:space="preserve">容值：220pF 精度：±5% 额定电压：1kV 温度系数：NP0</x:t>
  </x:si>
  <x:si>
    <x:t xml:space="preserve">https://item.szlcsc.com/108391.html</x:t>
  </x:si>
  <x:si>
    <x:t xml:space="preserve">56640</x:t>
  </x:si>
  <x:si>
    <x:t xml:space="preserve">0.2541</x:t>
  </x:si>
  <x:si>
    <x:t xml:space="preserve">兼容现有MELF-0207焊盘；核对重复脉冲承受能力</x:t>
  </x:si>
  <x:si>
    <x:t xml:space="preserve">86</x:t>
  </x:si>
  <x:si>
    <x:t xml:space="preserve">4.7Ω ±1% ≥1W 吸收电阻</x:t>
  </x:si>
  <x:si>
    <x:t xml:space="preserve">87</x:t>
  </x:si>
  <x:si>
    <x:t xml:space="preserve">6.8Ω ±1% ≥1W 吸收电阻</x:t>
  </x:si>
  <x:si>
    <x:t xml:space="preserve">88</x:t>
  </x:si>
  <x:si>
    <x:t xml:space="preserve">15Ω ±1% ≥1W 吸收电阻</x:t>
  </x:si>
  <x:si>
    <x:t xml:space="preserve">89</x:t>
  </x:si>
  <x:si>
    <x:t xml:space="preserve">22Ω ±1% ≥1W 吸收电阻</x:t>
  </x:si>
  <x:si>
    <x:t xml:space="preserve">1206，1kV，C0G/NP0</x:t>
  </x:si>
  <x:si>
    <x:t xml:space="preserve">90</x:t>
  </x:si>
  <x:si>
    <x:t xml:space="preserve">100pF ±5% 1kV C0G/NP0</x:t>
  </x:si>
  <x:si>
    <x:t xml:space="preserve">91</x:t>
  </x:si>
  <x:si>
    <x:t xml:space="preserve">150pF ±5% 1kV C0G/NP0</x:t>
  </x:si>
  <x:si>
    <x:t xml:space="preserve">92</x:t>
  </x:si>
  <x:si>
    <x:t xml:space="preserve">330pF ±5% 1kV C0G/NP0</x:t>
  </x:si>
  <x:si>
    <x:t xml:space="preserve">93</x:t>
  </x:si>
  <x:si>
    <x:t xml:space="preserve">470pF ±5% 1kV C0G/NP0</x:t>
  </x:si>
  <x:si>
    <x:t xml:space="preserve">0805，功率≥125mW</x:t>
  </x:si>
  <x:si>
    <x:t xml:space="preserve">94</x:t>
  </x:si>
  <x:si>
    <x:t xml:space="preserve">4.7Ω ±1% ≥125mW 栅极电阻</x:t>
  </x:si>
  <x:si>
    <x:t xml:space="preserve">95</x:t>
  </x:si>
  <x:si>
    <x:t xml:space="preserve">6.8Ω ±1% ≥125mW 栅极电阻</x:t>
  </x:si>
  <x:si>
    <x:t xml:space="preserve">96</x:t>
  </x:si>
  <x:si>
    <x:t xml:space="preserve">15Ω ±1% ≥125mW 栅极电阻</x:t>
  </x:si>
  <x:si>
    <x:t xml:space="preserve">97</x:t>
  </x:si>
  <x:si>
    <x:t xml:space="preserve">22Ω ±1% ≥125mW 栅极电阻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</x:si>
</x:sst>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0">
    <x:font>
      <x:sz val="11"/>
      <x:name val="Carlito"/>
    </x:font>
    <x:font>
      <x:sz val="12"/>
      <x:color rgb="FF000000"/>
      <x:name val="微软雅黑"/>
    </x:font>
    <x:font>
      <x:sz val="10"/>
      <x:color rgb="FF000000"/>
      <x:name val="Arial"/>
    </x:font>
    <x:font>
      <x:sz val="10"/>
      <x:color rgb="FF000000"/>
      <x:name val="微软雅黑"/>
    </x:font>
    <x:font>
      <x:sz val="10"/>
      <x:color rgb="FF0000FF"/>
      <x:name val="微软雅黑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rgb="FFC00000"/>
      <x:name val="微软雅黑"/>
    </x:font>
    <x:font>
      <x:sz val="10"/>
      <x:color rgb="FFC00000"/>
      <x:name val="Arial"/>
    </x:font>
    <x:font>
      <x:sz val="11"/>
      <x:color rgb="FFC00000"/>
      <x:name val="宋体"/>
    </x:font>
    <x:font>
      <x:sz val="11"/>
      <x:color rgb="FFC00000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99CCFF"/>
      </x:patternFill>
    </x:fill>
    <x:fill>
      <x:patternFill patternType="solid">
        <x:fgColor rgb="FFFFCC00"/>
      </x:patternFill>
    </x:fill>
    <x:fill>
      <x:patternFill patternType="solid">
        <x:fgColor rgb="FF99CC00"/>
      </x:patternFill>
    </x:fill>
    <x:fill>
      <x:patternFill patternType="solid">
        <x:fgColor rgb="FFFFF2CC"/>
      </x:patternFill>
    </x:fill>
    <x:fill>
      <x:patternFill patternType="solid">
        <x:fgColor rgb="FFC0C0C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7" borderId="5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8" applyNumberFormat="0" applyAlignment="0" applyProtection="0">
      <x:alignment vertical="center"/>
    </x:xf>
    <x:xf numFmtId="0" fontId="16" fillId="9" borderId="9" applyNumberFormat="0" applyAlignment="0" applyProtection="0">
      <x:alignment vertical="center"/>
    </x:xf>
    <x:xf numFmtId="0" fontId="17" fillId="9" borderId="8" applyNumberFormat="0" applyAlignment="0" applyProtection="0">
      <x:alignment vertical="center"/>
    </x:xf>
    <x:xf numFmtId="0" fontId="18" fillId="10" borderId="10" applyNumberFormat="0" applyAlignment="0" applyProtection="0">
      <x:alignment vertical="center"/>
    </x:xf>
    <x:xf numFmtId="0" fontId="19" fillId="0" borderId="11" applyNumberFormat="0" applyFill="0" applyAlignment="0" applyProtection="0">
      <x:alignment vertical="center"/>
    </x:xf>
    <x:xf numFmtId="0" fontId="20" fillId="0" borderId="12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55">
    <x:xf numFmtId="0" fontId="0" fillId="0" borderId="0" xfId="0"/>
    <x:xf numFmtId="0" fontId="1" fillId="2" borderId="1" xfId="49" applyFont="1" applyFill="1" applyBorder="1" applyAlignment="1">
      <x:alignment horizontal="center" vertical="center"/>
    </x:xf>
    <x:xf numFmtId="0" fontId="2" fillId="0" borderId="2" xfId="49" applyFont="1" applyBorder="1"/>
    <x:xf numFmtId="0" fontId="2" fillId="0" borderId="2" xfId="49" applyFont="1" applyBorder="1"/>
    <x:xf numFmtId="0" fontId="2" fillId="0" borderId="3" xfId="49" applyFont="1" applyBorder="1"/>
    <x:xf numFmtId="0" fontId="1" fillId="3" borderId="1" xfId="49" applyFont="1" applyFill="1" applyBorder="1" applyAlignment="1">
      <x:alignment horizontal="center" vertical="center"/>
    </x:xf>
    <x:xf numFmtId="0" fontId="3" fillId="2" borderId="1" xfId="49" applyFont="1" applyFill="1" applyBorder="1" applyAlignment="1">
      <x:alignment horizontal="center" vertical="center"/>
    </x:xf>
    <x:xf numFmtId="0" fontId="3" fillId="3" borderId="1" xfId="49" applyFont="1" applyFill="1" applyBorder="1" applyAlignment="1">
      <x:alignment horizontal="center" vertical="center"/>
    </x:xf>
    <x:xf numFmtId="0" fontId="3" fillId="2" borderId="1" xfId="49" applyFont="1" applyFill="1" applyBorder="1" applyAlignment="1">
      <x:alignment horizontal="center" vertical="center" wrapText="1"/>
    </x:xf>
    <x:xf numFmtId="0" fontId="3" fillId="0" borderId="4" xfId="49" applyFont="1" applyBorder="1" applyAlignment="1">
      <x:alignment horizontal="left" vertical="center"/>
    </x:xf>
    <x:xf numFmtId="0" fontId="3" fillId="0" borderId="2" xfId="49" applyFont="1" applyBorder="1" applyAlignment="1">
      <x:alignment horizontal="left" vertical="center"/>
    </x:xf>
    <x:xf numFmtId="0" fontId="3" fillId="0" borderId="2" xfId="49" applyFont="1" applyBorder="1" applyAlignment="1">
      <x:alignment horizontal="left" vertical="center"/>
    </x:xf>
    <x:xf numFmtId="0" fontId="3" fillId="0" borderId="3" xfId="49" applyFont="1" applyBorder="1" applyAlignment="1">
      <x:alignment horizontal="left" vertical="center"/>
    </x:xf>
    <x:xf numFmtId="0" fontId="3" fillId="4" borderId="1" xfId="49" applyFont="1" applyFill="1" applyBorder="1" applyAlignment="1">
      <x:alignment horizontal="left" vertical="center"/>
    </x:xf>
    <x:xf numFmtId="0" fontId="4" fillId="0" borderId="1" xfId="49" applyFont="1" applyBorder="1" applyAlignment="1">
      <x:alignment horizontal="left" vertical="center"/>
    </x:xf>
    <x:xf numFmtId="1" fontId="3" fillId="0" borderId="2" xfId="49" applyNumberFormat="1" applyFont="1" applyBorder="1" applyAlignment="1">
      <x:alignment horizontal="left" vertical="center"/>
    </x:xf>
    <x:xf numFmtId="2" fontId="3" fillId="0" borderId="1" xfId="49" applyNumberFormat="1" applyFont="1" applyBorder="1" applyAlignment="1">
      <x:alignment horizontal="left" vertical="center"/>
    </x:xf>
    <x:xf numFmtId="0" fontId="3" fillId="0" borderId="1" xfId="49" applyFont="1" applyBorder="1" applyAlignment="1">
      <x:alignment horizontal="left" vertical="center" wrapText="1"/>
    </x:xf>
    <x:xf numFmtId="1" fontId="3" fillId="5" borderId="2" xfId="49" applyNumberFormat="1" applyFont="1" applyFill="1" applyBorder="1" applyAlignment="1">
      <x:alignment horizontal="left" vertical="center"/>
    </x:xf>
    <x:xf numFmtId="0" fontId="3" fillId="6" borderId="1" xfId="49" applyFont="1" applyFill="1" applyBorder="1" applyAlignment="1">
      <x:alignment horizontal="left" vertical="center"/>
    </x:xf>
    <x:xf numFmtId="0" fontId="2" fillId="0" borderId="0" xfId="49" applyFont="1"/>
    <x:xf numFmtId="1" fontId="2" fillId="5" borderId="0" xfId="49" applyNumberFormat="1" applyFont="1" applyFill="1" applyAlignment="1">
      <x:alignment horizontal="left" vertical="center"/>
    </x:xf>
    <x:xf numFmtId="0" fontId="2" fillId="0" borderId="0" xfId="49" applyFont="1" applyAlignment="1">
      <x:alignment horizontal="left" vertical="center"/>
    </x:xf>
    <x:xf numFmtId="2" fontId="2" fillId="0" borderId="0" xfId="49" applyNumberFormat="1" applyFont="1" applyAlignment="1">
      <x:alignment horizontal="left" vertical="center"/>
    </x:xf>
    <x:xf numFmtId="0" fontId="2" fillId="0" borderId="0" xfId="49" applyFont="1" applyAlignment="1">
      <x:alignment horizontal="left" vertical="center" wrapText="1"/>
    </x:xf>
    <x:xf numFmtId="0" fontId="3" fillId="0" borderId="1" xfId="49" applyFont="1" applyBorder="1" applyAlignment="1">
      <x:alignment horizontal="left" vertical="center"/>
    </x:xf>
    <x:xf numFmtId="49" fontId="3" fillId="0" borderId="1" xfId="49" applyNumberFormat="1" applyFont="1" applyBorder="1" applyAlignment="1">
      <x:alignment horizontal="left" vertical="center"/>
    </x:xf>
    <x:xf numFmtId="0" fontId="3" fillId="5" borderId="1" xfId="49" applyFont="1" applyFill="1" applyBorder="1" applyAlignment="1">
      <x:alignment horizontal="left" vertical="center" wrapText="1"/>
    </x:xf>
    <x:xf numFmtId="49" fontId="3" fillId="0" borderId="1" xfId="49" applyNumberFormat="1" applyFont="1" applyBorder="1" applyAlignment="1">
      <x:alignment horizontal="left" vertical="center" wrapText="1"/>
    </x:xf>
    <x:xf numFmtId="1" fontId="3" fillId="5" borderId="1" xfId="49" applyNumberFormat="1" applyFont="1" applyFill="1" applyBorder="1" applyAlignment="1">
      <x:alignment horizontal="left" vertical="center"/>
    </x:xf>
    <x:xf numFmtId="0" fontId="5" fillId="0" borderId="0" xfId="0" applyFont="1"/>
    <x:xf numFmtId="0" fontId="3" fillId="38" borderId="2" xfId="0" applyNumberFormat="1" applyFont="1" applyFill="1" applyBorder="1" applyAlignment="1">
      <x:alignment horizontal="left" vertical="center"/>
    </x:xf>
    <x:xf numFmtId="0" fontId="3" fillId="38" borderId="1" xfId="0" applyNumberFormat="1" applyFont="1" applyFill="1" applyBorder="1" applyAlignment="1">
      <x:alignment horizontal="left" vertical="center"/>
    </x:xf>
    <x:xf numFmtId="0" fontId="3" fillId="38" borderId="1" xfId="0" applyNumberFormat="1" applyFont="1" applyFill="1" applyBorder="1" applyAlignment="1">
      <x:alignment horizontal="left" vertical="center" wrapText="1"/>
    </x:xf>
    <x:xf numFmtId="0" fontId="26" fillId="2" borderId="1" xfId="0" applyNumberFormat="1" applyFont="1" applyFill="1" applyBorder="1" applyAlignment="1">
      <x:alignment horizontal="center" vertical="center"/>
    </x:xf>
    <x:xf numFmtId="0" fontId="26" fillId="39" borderId="1" xfId="0" applyNumberFormat="1" applyFont="1" applyFill="1" applyBorder="1" applyAlignment="1">
      <x:alignment horizontal="center" vertical="center"/>
    </x:xf>
    <x:xf numFmtId="0" fontId="26" fillId="38" borderId="2" xfId="0" applyNumberFormat="1" applyFont="1" applyFill="1" applyBorder="1" applyAlignment="1">
      <x:alignment horizontal="left" vertical="center"/>
    </x:xf>
    <x:xf numFmtId="0" fontId="26" fillId="39" borderId="2" xfId="0" applyNumberFormat="1" applyFont="1" applyFill="1" applyBorder="1" applyAlignment="1">
      <x:alignment horizontal="left" vertical="center"/>
    </x:xf>
    <x:xf numFmtId="0" fontId="26" fillId="0" borderId="1" xfId="0" applyNumberFormat="1" applyFont="1" applyFill="1" applyBorder="1" applyAlignment="1">
      <x:alignment horizontal="left" vertical="center" wrapText="1"/>
    </x:xf>
    <x:xf numFmtId="0" fontId="26" fillId="39" borderId="1" xfId="0" applyNumberFormat="1" applyFont="1" applyFill="1" applyBorder="1" applyAlignment="1">
      <x:alignment horizontal="left" vertical="center" wrapText="1"/>
    </x:xf>
    <x:xf numFmtId="1" fontId="26" fillId="0" borderId="2" xfId="0" applyNumberFormat="1" applyFont="1" applyFill="1" applyBorder="1" applyAlignment="1">
      <x:alignment horizontal="left" vertical="center"/>
    </x:xf>
    <x:xf numFmtId="1" fontId="26" fillId="39" borderId="2" xfId="0" applyNumberFormat="1" applyFont="1" applyFill="1" applyBorder="1" applyAlignment="1">
      <x:alignment horizontal="left" vertical="center"/>
    </x:xf>
    <x:xf numFmtId="0" fontId="26" fillId="0" borderId="2" xfId="0" applyNumberFormat="1" applyFont="1" applyFill="1" applyBorder="1" applyAlignment="1">
      <x:alignment horizontal="left" vertical="center"/>
    </x:xf>
    <x:xf numFmtId="0" fontId="27" fillId="0" borderId="0" xfId="0" applyNumberFormat="1" applyFont="1" applyFill="1" applyBorder="1" applyAlignment="1">
      <x:alignment horizontal="left" vertical="center" wrapText="1"/>
    </x:xf>
    <x:xf numFmtId="0" fontId="27" fillId="39" borderId="0" xfId="0" applyNumberFormat="1" applyFont="1" applyFill="1" applyBorder="1" applyAlignment="1">
      <x:alignment horizontal="left" vertical="center" wrapText="1"/>
    </x:xf>
    <x:xf numFmtId="1" fontId="26" fillId="5" borderId="1" xfId="0" applyNumberFormat="1" applyFont="1" applyFill="1" applyBorder="1" applyAlignment="1">
      <x:alignment horizontal="left" vertical="center"/>
    </x:xf>
    <x:xf numFmtId="1" fontId="26" fillId="39" borderId="1" xfId="0" applyNumberFormat="1" applyFont="1" applyFill="1" applyBorder="1" applyAlignment="1">
      <x:alignment horizontal="left" vertical="center"/>
    </x:xf>
    <x:xf numFmtId="0" fontId="26" fillId="38" borderId="1" xfId="0" applyNumberFormat="1" applyFont="1" applyFill="1" applyBorder="1" applyAlignment="1">
      <x:alignment horizontal="left" vertical="center" wrapText="1"/>
    </x:xf>
    <x:xf numFmtId="0" fontId="26" fillId="5" borderId="1" xfId="0" applyNumberFormat="1" applyFont="1" applyFill="1" applyBorder="1" applyAlignment="1">
      <x:alignment horizontal="left" vertical="center" wrapText="1"/>
    </x:xf>
    <x:xf numFmtId="0" fontId="28" fillId="0" borderId="0" xfId="0" applyNumberFormat="1" applyFont="1" applyFill="1" applyBorder="1"/>
    <x:xf numFmtId="0" fontId="28" fillId="39" borderId="0" xfId="0" applyNumberFormat="1" applyFont="1" applyFill="1" applyBorder="1"/>
    <x:xf numFmtId="0" fontId="29" fillId="0" borderId="0" xfId="0" applyNumberFormat="1" applyFont="1" applyFill="1" applyBorder="1"/>
    <x:xf numFmtId="0" fontId="26" fillId="39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8" fillId="39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ec73346ee4e95" /><Relationship Type="http://schemas.openxmlformats.org/officeDocument/2006/relationships/theme" Target="/xl/theme/theme1.xml" Id="Re695b167413148db" /><Relationship Type="http://schemas.openxmlformats.org/officeDocument/2006/relationships/sharedStrings" Target="/xl/sharedStrings.xml" Id="R0b1644cd5ea445e0" /><Relationship Type="http://schemas.openxmlformats.org/officeDocument/2006/relationships/worksheet" Target="/xl/worksheets/sheet1.xml" Id="R710366865552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25"/>
  <x:cols>
    <x:col min="1" max="1" width="24.875" customWidth="1"/>
    <x:col min="2" max="2" width="17.375" customWidth="1"/>
    <x:col min="3" max="3" width="42.5" customWidth="1"/>
    <x:col min="4" max="4" width="41.125" hidden="1" customWidth="1"/>
    <x:col min="5" max="5" width="11.375" customWidth="1"/>
    <x:col min="6" max="6" width="3.375" hidden="1" customWidth="1"/>
    <x:col min="7" max="7" width="21.625" customWidth="1"/>
    <x:col min="8" max="8" width="87.25" hidden="1" customWidth="1"/>
    <x:col min="9" max="11" width="8.125" customWidth="1"/>
    <x:col min="12" max="12" width="7.625" hidden="1" customWidth="1"/>
    <x:col min="13" max="13" width="7.875" hidden="1" customWidth="1"/>
    <x:col min="14" max="14" width="92" hidden="1" customWidth="1"/>
    <x:col min="15" max="15" width="24.875" hidden="1" customWidth="1"/>
    <x:col min="16" max="16" width="17.375" hidden="1" customWidth="1"/>
    <x:col min="17" max="17" width="18.75" hidden="1" customWidth="1"/>
    <x:col min="18" max="18" width="255" hidden="1" customWidth="1"/>
    <x:col min="19" max="19" width="19.125" hidden="1" customWidth="1"/>
    <x:col min="20" max="20" width="10.625" hidden="1" customWidth="1"/>
    <x:col min="21" max="21" width="34.125" hidden="1" customWidth="1"/>
    <x:col min="22" max="22" width="4.625" hidden="1" customWidth="1"/>
    <x:col min="23" max="23" width="15.375" hidden="1" customWidth="1"/>
    <x:col min="24" max="24" width="5.75" hidden="1" customWidth="1"/>
    <x:col min="25" max="25" width="5.375" hidden="1" customWidth="1"/>
    <x:col min="26" max="26" width="9.375" hidden="1" customWidth="1"/>
    <x:col min="27" max="27" width="7.125" hidden="1" customWidth="1"/>
    <x:col min="28" max="28" width="13.375" customWidth="1"/>
    <x:col min="29" max="29" width="7.125" customWidth="1"/>
    <x:col min="30" max="30" width="11.75" customWidth="1"/>
    <x:col min="31" max="31" width="50.75" customWidth="1"/>
    <x:col min="9" max="9" width="17" hidden="0" customWidth="1"/>
    <x:col min="10" max="10" width="19" hidden="0" customWidth="1"/>
    <x:col min="11" max="11" width="20" hidden="0" customWidth="1"/>
  </x:cols>
  <x:sheetData>
    <x:row r="1" ht="17.25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3"/>
      <x:c r="K1" s="3"/>
      <x:c r="L1" s="4"/>
      <x:c r="M1" s="5" t="s">
        <x:v>1</x:v>
      </x:c>
      <x:c r="N1" s="2"/>
      <x:c r="O1" s="2"/>
      <x:c r="P1" s="2"/>
      <x:c r="Q1" s="2"/>
      <x:c r="R1" s="2"/>
      <x:c r="S1" s="4"/>
      <x:c r="T1" s="1" t="s">
        <x:v>2</x:v>
      </x:c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4"/>
    </x:row>
    <x:row r="2" ht="32" customHeight="1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52" t="str">
        <x:v>采购数量（含备件）</x:v>
      </x:c>
      <x:c r="J2" s="53" t="s">
        <x:v>11</x:v>
      </x:c>
      <x:c r="K2" s="52" t="str">
        <x:v>参考金额（待重报）</x:v>
      </x:c>
      <x:c r="L2" s="6" t="s">
        <x:v>12</x:v>
      </x:c>
      <x:c r="M2" s="7" t="s">
        <x:v>1</x:v>
      </x:c>
      <x:c r="N2" s="7" t="s">
        <x:v>13</x:v>
      </x:c>
      <x:c r="O2" s="7" t="s">
        <x:v>14</x:v>
      </x:c>
      <x:c r="P2" s="7" t="s">
        <x:v>15</x:v>
      </x:c>
      <x:c r="Q2" s="7" t="s">
        <x:v>16</x:v>
      </x:c>
      <x:c r="R2" s="7" t="s">
        <x:v>17</x:v>
      </x:c>
      <x:c r="S2" s="7" t="s">
        <x:v>18</x:v>
      </x:c>
      <x:c r="T2" s="6" t="s">
        <x:v>19</x:v>
      </x:c>
      <x:c r="U2" s="6" t="s">
        <x:v>20</x:v>
      </x:c>
      <x:c r="V2" s="6" t="s">
        <x:v>21</x:v>
      </x:c>
      <x:c r="W2" s="6" t="s">
        <x:v>22</x:v>
      </x:c>
      <x:c r="X2" s="6" t="s">
        <x:v>23</x:v>
      </x:c>
      <x:c r="Y2" s="6" t="s">
        <x:v>24</x:v>
      </x:c>
      <x:c r="Z2" s="6" t="s">
        <x:v>25</x:v>
      </x:c>
      <x:c r="AA2" s="8" t="s">
        <x:v>26</x:v>
      </x:c>
      <x:c r="AB2" s="8" t="s">
        <x:v>27</x:v>
      </x:c>
      <x:c r="AC2" s="8" t="s">
        <x:v>28</x:v>
      </x:c>
      <x:c r="AD2" s="8" t="s">
        <x:v>29</x:v>
      </x:c>
      <x:c r="AE2" s="8" t="s">
        <x:v>30</x:v>
      </x:c>
    </x:row>
    <x:row r="3" ht="16.5">
      <x:c r="A3" s="9" t="s">
        <x:v>31</x:v>
      </x:c>
      <x:c r="B3" s="10" t="s">
        <x:v>32</x:v>
      </x:c>
      <x:c r="C3" s="10" t="s">
        <x:v>33</x:v>
      </x:c>
      <x:c r="D3" s="10"/>
      <x:c r="E3" s="10" t="s">
        <x:v>34</x:v>
      </x:c>
      <x:c r="F3" s="10" t="s">
        <x:v>35</x:v>
      </x:c>
      <x:c r="G3" s="10" t="s">
        <x:v>31</x:v>
      </x:c>
      <x:c r="H3" s="10" t="s">
        <x:v>36</x:v>
      </x:c>
      <x:c r="I3" s="10" t="s">
        <x:v>37</x:v>
      </x:c>
      <x:c r="J3" s="11">
        <x:v>3</x:v>
      </x:c>
      <x:c r="K3" s="11" t="n">
        <x:f>J3*I3</x:f>
        <x:v>6</x:v>
      </x:c>
      <x:c r="L3" s="12" t="s">
        <x:v>38</x:v>
      </x:c>
      <x:c r="M3" s="13" t="s">
        <x:v>39</x:v>
      </x:c>
      <x:c r="N3" s="9" t="s">
        <x:v>40</x:v>
      </x:c>
      <x:c r="O3" s="10" t="s">
        <x:v>31</x:v>
      </x:c>
      <x:c r="P3" s="10" t="s">
        <x:v>32</x:v>
      </x:c>
      <x:c r="Q3" s="10" t="s">
        <x:v>41</x:v>
      </x:c>
      <x:c r="R3" s="10" t="s">
        <x:v>42</x:v>
      </x:c>
      <x:c r="S3" s="10" t="s">
        <x:v>43</x:v>
      </x:c>
      <x:c r="T3" s="12" t="s">
        <x:v>34</x:v>
      </x:c>
      <x:c r="U3" s="14" t="s">
        <x:v>44</x:v>
      </x:c>
      <x:c r="V3" s="9" t="s">
        <x:v>45</x:v>
      </x:c>
      <x:c r="W3" s="10" t="s">
        <x:v>46</x:v>
      </x:c>
      <x:c r="X3" s="10" t="s">
        <x:v>35</x:v>
      </x:c>
      <x:c r="Y3" s="10" t="s">
        <x:v>47</x:v>
      </x:c>
      <x:c r="Z3" s="10" t="s">
        <x:v>48</x:v>
      </x:c>
      <x:c r="AA3" s="15" t="s">
        <x:v>37</x:v>
      </x:c>
      <x:c r="AB3" s="10" t="s">
        <x:v>49</x:v>
      </x:c>
      <x:c r="AC3" s="12" t="s">
        <x:v>48</x:v>
      </x:c>
      <x:c r="AD3" s="16" t="n">
        <x:f t="shared" ref="AD3:AD36" si="0">ROUND(AA3*AB3,2)</x:f>
        <x:v>7.38</x:v>
      </x:c>
      <x:c r="AE3" s="17"/>
    </x:row>
    <x:row r="4" ht="16.5">
      <x:c r="A4" s="9" t="s">
        <x:v>50</x:v>
      </x:c>
      <x:c r="B4" s="10" t="s">
        <x:v>51</x:v>
      </x:c>
      <x:c r="C4" s="10" t="s">
        <x:v>52</x:v>
      </x:c>
      <x:c r="D4" s="10"/>
      <x:c r="E4" s="10" t="s">
        <x:v>53</x:v>
      </x:c>
      <x:c r="F4" s="10" t="s">
        <x:v>37</x:v>
      </x:c>
      <x:c r="G4" s="10" t="s">
        <x:v>54</x:v>
      </x:c>
      <x:c r="H4" s="10" t="s">
        <x:v>55</x:v>
      </x:c>
      <x:c r="I4" s="37" t="n">
        <x:v>30</x:v>
      </x:c>
      <x:c r="J4" s="11">
        <x:v>1.8</x:v>
      </x:c>
      <x:c r="K4" s="42" t="n">
        <x:f t="shared" ref="K4:K33" si="1">J4*I4</x:f>
        <x:v>54</x:v>
      </x:c>
      <x:c r="L4" s="12" t="s">
        <x:v>38</x:v>
      </x:c>
      <x:c r="M4" s="13" t="s">
        <x:v>39</x:v>
      </x:c>
      <x:c r="N4" s="9" t="s">
        <x:v>56</x:v>
      </x:c>
      <x:c r="O4" s="10" t="s">
        <x:v>50</x:v>
      </x:c>
      <x:c r="P4" s="10" t="s">
        <x:v>51</x:v>
      </x:c>
      <x:c r="Q4" s="10" t="s">
        <x:v>57</x:v>
      </x:c>
      <x:c r="R4" s="10" t="s">
        <x:v>58</x:v>
      </x:c>
      <x:c r="S4" s="10" t="s">
        <x:v>59</x:v>
      </x:c>
      <x:c r="T4" s="12" t="s">
        <x:v>53</x:v>
      </x:c>
      <x:c r="U4" s="14" t="s">
        <x:v>60</x:v>
      </x:c>
      <x:c r="V4" s="9" t="s">
        <x:v>61</x:v>
      </x:c>
      <x:c r="W4" s="10" t="s">
        <x:v>62</x:v>
      </x:c>
      <x:c r="X4" s="10" t="s">
        <x:v>63</x:v>
      </x:c>
      <x:c r="Y4" s="10" t="s">
        <x:v>64</x:v>
      </x:c>
      <x:c r="Z4" s="10" t="s">
        <x:v>65</x:v>
      </x:c>
      <x:c r="AA4" s="18">
        <x:v>30</x:v>
      </x:c>
      <x:c r="AB4" s="10" t="s">
        <x:v>66</x:v>
      </x:c>
      <x:c r="AC4" s="12" t="s">
        <x:v>48</x:v>
      </x:c>
      <x:c r="AD4" s="16">
        <x:f t="shared" si="0"/>
        <x:v>73.02</x:v>
      </x:c>
      <x:c r="AE4" s="39" t="str">
        <x:v>1块板用23颗，备用7颗；购买数量25→30；采购数量23→30；含1块板用量及备件</x:v>
      </x:c>
    </x:row>
    <x:row r="5" ht="16.5">
      <x:c r="A5" s="9" t="s">
        <x:v>67</x:v>
      </x:c>
      <x:c r="B5" s="10" t="s">
        <x:v>68</x:v>
      </x:c>
      <x:c r="C5" s="10" t="s">
        <x:v>69</x:v>
      </x:c>
      <x:c r="D5" s="10"/>
      <x:c r="E5" s="10" t="s">
        <x:v>70</x:v>
      </x:c>
      <x:c r="F5" s="10" t="s">
        <x:v>71</x:v>
      </x:c>
      <x:c r="G5" s="10" t="s">
        <x:v>67</x:v>
      </x:c>
      <x:c r="H5" s="10" t="s">
        <x:v>72</x:v>
      </x:c>
      <x:c r="I5" s="37" t="n">
        <x:v>1</x:v>
      </x:c>
      <x:c r="J5" s="11">
        <x:v>0.3</x:v>
      </x:c>
      <x:c r="K5" s="11">
        <x:f t="shared" si="1"/>
        <x:v>0.3</x:v>
      </x:c>
      <x:c r="L5" s="12" t="s">
        <x:v>38</x:v>
      </x:c>
      <x:c r="M5" s="13" t="s">
        <x:v>39</x:v>
      </x:c>
      <x:c r="N5" s="9" t="s">
        <x:v>73</x:v>
      </x:c>
      <x:c r="O5" s="10" t="s">
        <x:v>67</x:v>
      </x:c>
      <x:c r="P5" s="10" t="s">
        <x:v>68</x:v>
      </x:c>
      <x:c r="Q5" s="10" t="s">
        <x:v>74</x:v>
      </x:c>
      <x:c r="R5" s="10" t="s">
        <x:v>75</x:v>
      </x:c>
      <x:c r="S5" s="10" t="s">
        <x:v>76</x:v>
      </x:c>
      <x:c r="T5" s="12" t="s">
        <x:v>70</x:v>
      </x:c>
      <x:c r="U5" s="14" t="s">
        <x:v>77</x:v>
      </x:c>
      <x:c r="V5" s="9" t="s">
        <x:v>61</x:v>
      </x:c>
      <x:c r="W5" s="10" t="s">
        <x:v>62</x:v>
      </x:c>
      <x:c r="X5" s="10" t="s">
        <x:v>63</x:v>
      </x:c>
      <x:c r="Y5" s="10" t="s">
        <x:v>78</x:v>
      </x:c>
      <x:c r="Z5" s="10" t="s">
        <x:v>79</x:v>
      </x:c>
      <x:c r="AA5" s="41" t="n">
        <x:v>1</x:v>
      </x:c>
      <x:c r="AB5" s="10" t="s">
        <x:v>80</x:v>
      </x:c>
      <x:c r="AC5" s="12" t="s">
        <x:v>48</x:v>
      </x:c>
      <x:c r="AD5" s="16">
        <x:f t="shared" si="0"/>
        <x:v>4.51</x:v>
      </x:c>
      <x:c r="AE5" s="17"/>
    </x:row>
    <x:row r="6" ht="16.5">
      <x:c r="A6" s="9" t="s">
        <x:v>81</x:v>
      </x:c>
      <x:c r="B6" s="10" t="s">
        <x:v>82</x:v>
      </x:c>
      <x:c r="C6" s="10" t="s">
        <x:v>83</x:v>
      </x:c>
      <x:c r="D6" s="10"/>
      <x:c r="E6" s="10" t="s">
        <x:v>84</x:v>
      </x:c>
      <x:c r="F6" s="10" t="s">
        <x:v>85</x:v>
      </x:c>
      <x:c r="G6" s="10" t="s">
        <x:v>86</x:v>
      </x:c>
      <x:c r="H6" s="10" t="s">
        <x:v>87</x:v>
      </x:c>
      <x:c r="I6" s="37" t="n">
        <x:v>2</x:v>
      </x:c>
      <x:c r="J6" s="11">
        <x:v>0.5</x:v>
      </x:c>
      <x:c r="K6" s="11">
        <x:f t="shared" si="1"/>
        <x:v>1</x:v>
      </x:c>
      <x:c r="L6" s="12" t="s">
        <x:v>38</x:v>
      </x:c>
      <x:c r="M6" s="13" t="s">
        <x:v>39</x:v>
      </x:c>
      <x:c r="N6" s="9" t="s">
        <x:v>88</x:v>
      </x:c>
      <x:c r="O6" s="10" t="s">
        <x:v>81</x:v>
      </x:c>
      <x:c r="P6" s="10" t="s">
        <x:v>82</x:v>
      </x:c>
      <x:c r="Q6" s="10" t="s">
        <x:v>89</x:v>
      </x:c>
      <x:c r="R6" s="10" t="s">
        <x:v>90</x:v>
      </x:c>
      <x:c r="S6" s="10" t="s">
        <x:v>91</x:v>
      </x:c>
      <x:c r="T6" s="12" t="s">
        <x:v>84</x:v>
      </x:c>
      <x:c r="U6" s="14" t="s">
        <x:v>92</x:v>
      </x:c>
      <x:c r="V6" s="9" t="s">
        <x:v>61</x:v>
      </x:c>
      <x:c r="W6" s="10" t="s">
        <x:v>62</x:v>
      </x:c>
      <x:c r="X6" s="10" t="s">
        <x:v>93</x:v>
      </x:c>
      <x:c r="Y6" s="10" t="s">
        <x:v>94</x:v>
      </x:c>
      <x:c r="Z6" s="10" t="s">
        <x:v>95</x:v>
      </x:c>
      <x:c r="AA6" s="41" t="n">
        <x:v>2</x:v>
      </x:c>
      <x:c r="AB6" s="10" t="s">
        <x:v>96</x:v>
      </x:c>
      <x:c r="AC6" s="12" t="s">
        <x:v>48</x:v>
      </x:c>
      <x:c r="AD6" s="16">
        <x:f t="shared" si="0"/>
        <x:v>3.94</x:v>
      </x:c>
      <x:c r="AE6" s="17"/>
    </x:row>
    <x:row r="7" ht="16.5">
      <x:c r="A7" s="9" t="s">
        <x:v>97</x:v>
      </x:c>
      <x:c r="B7" s="10" t="s">
        <x:v>98</x:v>
      </x:c>
      <x:c r="C7" s="10" t="s">
        <x:v>99</x:v>
      </x:c>
      <x:c r="D7" s="10"/>
      <x:c r="E7" s="10" t="s">
        <x:v>100</x:v>
      </x:c>
      <x:c r="F7" s="10" t="s">
        <x:v>63</x:v>
      </x:c>
      <x:c r="G7" s="10" t="s">
        <x:v>101</x:v>
      </x:c>
      <x:c r="H7" s="10" t="s">
        <x:v>102</x:v>
      </x:c>
      <x:c r="I7" s="37" t="n">
        <x:v>2</x:v>
      </x:c>
      <x:c r="J7" s="11">
        <x:v>1</x:v>
      </x:c>
      <x:c r="K7" s="11">
        <x:f t="shared" si="1"/>
        <x:v>2</x:v>
      </x:c>
      <x:c r="L7" s="12" t="s">
        <x:v>38</x:v>
      </x:c>
      <x:c r="M7" s="13" t="s">
        <x:v>39</x:v>
      </x:c>
      <x:c r="N7" s="9" t="s">
        <x:v>103</x:v>
      </x:c>
      <x:c r="O7" s="10" t="s">
        <x:v>97</x:v>
      </x:c>
      <x:c r="P7" s="10" t="s">
        <x:v>98</x:v>
      </x:c>
      <x:c r="Q7" s="10" t="s">
        <x:v>104</x:v>
      </x:c>
      <x:c r="R7" s="10" t="s">
        <x:v>105</x:v>
      </x:c>
      <x:c r="S7" s="10" t="s">
        <x:v>59</x:v>
      </x:c>
      <x:c r="T7" s="12" t="s">
        <x:v>100</x:v>
      </x:c>
      <x:c r="U7" s="14" t="s">
        <x:v>106</x:v>
      </x:c>
      <x:c r="V7" s="9" t="s">
        <x:v>61</x:v>
      </x:c>
      <x:c r="W7" s="10" t="s">
        <x:v>62</x:v>
      </x:c>
      <x:c r="X7" s="10" t="s">
        <x:v>63</x:v>
      </x:c>
      <x:c r="Y7" s="10" t="s">
        <x:v>107</x:v>
      </x:c>
      <x:c r="Z7" s="10" t="s">
        <x:v>108</x:v>
      </x:c>
      <x:c r="AA7" s="41" t="n">
        <x:v>2</x:v>
      </x:c>
      <x:c r="AB7" s="10" t="s">
        <x:v>109</x:v>
      </x:c>
      <x:c r="AC7" s="12" t="s">
        <x:v>48</x:v>
      </x:c>
      <x:c r="AD7" s="16">
        <x:f t="shared" si="0"/>
        <x:v>5.3</x:v>
      </x:c>
      <x:c r="AE7" s="17"/>
    </x:row>
    <x:row r="8" ht="16.5">
      <x:c r="A8" s="9" t="s">
        <x:v>110</x:v>
      </x:c>
      <x:c r="B8" s="10" t="s">
        <x:v>111</x:v>
      </x:c>
      <x:c r="C8" s="10" t="s">
        <x:v>112</x:v>
      </x:c>
      <x:c r="D8" s="10"/>
      <x:c r="E8" s="10" t="s">
        <x:v>113</x:v>
      </x:c>
      <x:c r="F8" s="10" t="s">
        <x:v>114</x:v>
      </x:c>
      <x:c r="G8" s="10" t="s">
        <x:v>115</x:v>
      </x:c>
      <x:c r="H8" s="10" t="s">
        <x:v>116</x:v>
      </x:c>
      <x:c r="I8" s="37" t="n">
        <x:v>4</x:v>
      </x:c>
      <x:c r="J8" s="11"/>
      <x:c r="K8" s="11">
        <x:v>1</x:v>
      </x:c>
      <x:c r="L8" s="12" t="s">
        <x:v>38</x:v>
      </x:c>
      <x:c r="M8" s="13" t="s">
        <x:v>39</x:v>
      </x:c>
      <x:c r="N8" s="9" t="s">
        <x:v>117</x:v>
      </x:c>
      <x:c r="O8" s="10" t="s">
        <x:v>110</x:v>
      </x:c>
      <x:c r="P8" s="10" t="s">
        <x:v>111</x:v>
      </x:c>
      <x:c r="Q8" s="10" t="s">
        <x:v>118</x:v>
      </x:c>
      <x:c r="R8" s="10" t="s">
        <x:v>119</x:v>
      </x:c>
      <x:c r="S8" s="10" t="s">
        <x:v>91</x:v>
      </x:c>
      <x:c r="T8" s="12" t="s">
        <x:v>113</x:v>
      </x:c>
      <x:c r="U8" s="14" t="s">
        <x:v>120</x:v>
      </x:c>
      <x:c r="V8" s="9" t="s">
        <x:v>61</x:v>
      </x:c>
      <x:c r="W8" s="10" t="s">
        <x:v>62</x:v>
      </x:c>
      <x:c r="X8" s="10" t="s">
        <x:v>121</x:v>
      </x:c>
      <x:c r="Y8" s="10" t="s">
        <x:v>122</x:v>
      </x:c>
      <x:c r="Z8" s="10" t="s">
        <x:v>123</x:v>
      </x:c>
      <x:c r="AA8" s="41" t="n">
        <x:v>4</x:v>
      </x:c>
      <x:c r="AB8" s="10" t="s">
        <x:v>124</x:v>
      </x:c>
      <x:c r="AC8" s="12" t="s">
        <x:v>48</x:v>
      </x:c>
      <x:c r="AD8" s="16">
        <x:f t="shared" si="0"/>
        <x:v>3.61</x:v>
      </x:c>
      <x:c r="AE8" s="17"/>
    </x:row>
    <x:row r="9" ht="16.5">
      <x:c r="A9" s="9" t="s">
        <x:v>125</x:v>
      </x:c>
      <x:c r="B9" s="10" t="s">
        <x:v>111</x:v>
      </x:c>
      <x:c r="C9" s="10" t="s">
        <x:v>112</x:v>
      </x:c>
      <x:c r="D9" s="10"/>
      <x:c r="E9" s="10" t="s">
        <x:v>126</x:v>
      </x:c>
      <x:c r="F9" s="10" t="s">
        <x:v>127</x:v>
      </x:c>
      <x:c r="G9" s="10" t="s">
        <x:v>128</x:v>
      </x:c>
      <x:c r="H9" s="10" t="s">
        <x:v>129</x:v>
      </x:c>
      <x:c r="I9" s="37" t="n">
        <x:v>4</x:v>
      </x:c>
      <x:c r="J9" s="11"/>
      <x:c r="K9" s="11">
        <x:v>1</x:v>
      </x:c>
      <x:c r="L9" s="12" t="s">
        <x:v>38</x:v>
      </x:c>
      <x:c r="M9" s="13" t="s">
        <x:v>39</x:v>
      </x:c>
      <x:c r="N9" s="9" t="s">
        <x:v>130</x:v>
      </x:c>
      <x:c r="O9" s="10" t="s">
        <x:v>125</x:v>
      </x:c>
      <x:c r="P9" s="10" t="s">
        <x:v>111</x:v>
      </x:c>
      <x:c r="Q9" s="10" t="s">
        <x:v>118</x:v>
      </x:c>
      <x:c r="R9" s="10" t="s">
        <x:v>131</x:v>
      </x:c>
      <x:c r="S9" s="10" t="s">
        <x:v>91</x:v>
      </x:c>
      <x:c r="T9" s="12" t="s">
        <x:v>126</x:v>
      </x:c>
      <x:c r="U9" s="14" t="s">
        <x:v>132</x:v>
      </x:c>
      <x:c r="V9" s="9" t="s">
        <x:v>61</x:v>
      </x:c>
      <x:c r="W9" s="10" t="s">
        <x:v>62</x:v>
      </x:c>
      <x:c r="X9" s="10" t="s">
        <x:v>121</x:v>
      </x:c>
      <x:c r="Y9" s="10" t="s">
        <x:v>122</x:v>
      </x:c>
      <x:c r="Z9" s="10" t="s">
        <x:v>133</x:v>
      </x:c>
      <x:c r="AA9" s="41" t="n">
        <x:v>4</x:v>
      </x:c>
      <x:c r="AB9" s="10" t="s">
        <x:v>134</x:v>
      </x:c>
      <x:c r="AC9" s="12" t="s">
        <x:v>48</x:v>
      </x:c>
      <x:c r="AD9" s="16">
        <x:f t="shared" si="0"/>
        <x:v>2.53</x:v>
      </x:c>
      <x:c r="AE9" s="17"/>
    </x:row>
    <x:row r="10" ht="16.5">
      <x:c r="A10" s="9" t="s">
        <x:v>135</x:v>
      </x:c>
      <x:c r="B10" s="10" t="s">
        <x:v>136</x:v>
      </x:c>
      <x:c r="C10" s="10" t="s">
        <x:v>137</x:v>
      </x:c>
      <x:c r="D10" s="10"/>
      <x:c r="E10" s="10" t="s">
        <x:v>138</x:v>
      </x:c>
      <x:c r="F10" s="10" t="s">
        <x:v>139</x:v>
      </x:c>
      <x:c r="G10" s="10" t="s">
        <x:v>140</x:v>
      </x:c>
      <x:c r="H10" s="10" t="s">
        <x:v>141</x:v>
      </x:c>
      <x:c r="I10" s="37" t="n">
        <x:v>22</x:v>
      </x:c>
      <x:c r="J10" s="11"/>
      <x:c r="K10" s="11">
        <x:v>1</x:v>
      </x:c>
      <x:c r="L10" s="12" t="s">
        <x:v>38</x:v>
      </x:c>
      <x:c r="M10" s="13" t="s">
        <x:v>39</x:v>
      </x:c>
      <x:c r="N10" s="9" t="s">
        <x:v>142</x:v>
      </x:c>
      <x:c r="O10" s="10" t="s">
        <x:v>135</x:v>
      </x:c>
      <x:c r="P10" s="10" t="s">
        <x:v>136</x:v>
      </x:c>
      <x:c r="Q10" s="10" t="s">
        <x:v>143</x:v>
      </x:c>
      <x:c r="R10" s="10" t="s">
        <x:v>144</x:v>
      </x:c>
      <x:c r="S10" s="10" t="s">
        <x:v>59</x:v>
      </x:c>
      <x:c r="T10" s="12" t="s">
        <x:v>138</x:v>
      </x:c>
      <x:c r="U10" s="14" t="s">
        <x:v>145</x:v>
      </x:c>
      <x:c r="V10" s="9" t="s">
        <x:v>61</x:v>
      </x:c>
      <x:c r="W10" s="10" t="s">
        <x:v>62</x:v>
      </x:c>
      <x:c r="X10" s="10" t="s">
        <x:v>146</x:v>
      </x:c>
      <x:c r="Y10" s="10" t="s">
        <x:v>94</x:v>
      </x:c>
      <x:c r="Z10" s="10" t="s">
        <x:v>147</x:v>
      </x:c>
      <x:c r="AA10" s="41" t="n">
        <x:v>22</x:v>
      </x:c>
      <x:c r="AB10" s="10" t="s">
        <x:v>148</x:v>
      </x:c>
      <x:c r="AC10" s="12" t="s">
        <x:v>48</x:v>
      </x:c>
      <x:c r="AD10" s="16">
        <x:f t="shared" si="0"/>
        <x:v>3.79</x:v>
      </x:c>
      <x:c r="AE10" s="17"/>
    </x:row>
    <x:row r="11" ht="16.5">
      <x:c r="A11" s="9" t="s">
        <x:v>149</x:v>
      </x:c>
      <x:c r="B11" s="10" t="s">
        <x:v>136</x:v>
      </x:c>
      <x:c r="C11" s="10" t="s">
        <x:v>137</x:v>
      </x:c>
      <x:c r="D11" s="10"/>
      <x:c r="E11" s="10" t="s">
        <x:v>150</x:v>
      </x:c>
      <x:c r="F11" s="10" t="s">
        <x:v>151</x:v>
      </x:c>
      <x:c r="G11" s="10" t="s">
        <x:v>152</x:v>
      </x:c>
      <x:c r="H11" s="10" t="s">
        <x:v>153</x:v>
      </x:c>
      <x:c r="I11" s="37" t="n">
        <x:v>2</x:v>
      </x:c>
      <x:c r="J11" s="11"/>
      <x:c r="K11" s="11">
        <x:v>1</x:v>
      </x:c>
      <x:c r="L11" s="12" t="s">
        <x:v>38</x:v>
      </x:c>
      <x:c r="M11" s="13" t="s">
        <x:v>39</x:v>
      </x:c>
      <x:c r="N11" s="9" t="s">
        <x:v>154</x:v>
      </x:c>
      <x:c r="O11" s="10" t="s">
        <x:v>149</x:v>
      </x:c>
      <x:c r="P11" s="10" t="s">
        <x:v>136</x:v>
      </x:c>
      <x:c r="Q11" s="10" t="s">
        <x:v>143</x:v>
      </x:c>
      <x:c r="R11" s="10" t="s">
        <x:v>155</x:v>
      </x:c>
      <x:c r="S11" s="10" t="s">
        <x:v>59</x:v>
      </x:c>
      <x:c r="T11" s="12" t="s">
        <x:v>150</x:v>
      </x:c>
      <x:c r="U11" s="14" t="s">
        <x:v>156</x:v>
      </x:c>
      <x:c r="V11" s="9" t="s">
        <x:v>61</x:v>
      </x:c>
      <x:c r="W11" s="10" t="s">
        <x:v>62</x:v>
      </x:c>
      <x:c r="X11" s="10" t="s">
        <x:v>146</x:v>
      </x:c>
      <x:c r="Y11" s="10" t="s">
        <x:v>94</x:v>
      </x:c>
      <x:c r="Z11" s="10" t="s">
        <x:v>157</x:v>
      </x:c>
      <x:c r="AA11" s="41" t="n">
        <x:v>2</x:v>
      </x:c>
      <x:c r="AB11" s="10" t="s">
        <x:v>158</x:v>
      </x:c>
      <x:c r="AC11" s="12" t="s">
        <x:v>48</x:v>
      </x:c>
      <x:c r="AD11" s="16">
        <x:f t="shared" si="0"/>
        <x:v>3.03</x:v>
      </x:c>
      <x:c r="AE11" s="17"/>
    </x:row>
    <x:row r="12" ht="16.5">
      <x:c r="A12" s="9" t="s">
        <x:v>159</x:v>
      </x:c>
      <x:c r="B12" s="10" t="s">
        <x:v>68</x:v>
      </x:c>
      <x:c r="C12" s="10" t="s">
        <x:v>160</x:v>
      </x:c>
      <x:c r="D12" s="10"/>
      <x:c r="E12" s="10" t="s">
        <x:v>161</x:v>
      </x:c>
      <x:c r="F12" s="10" t="s">
        <x:v>93</x:v>
      </x:c>
      <x:c r="G12" s="10" t="s">
        <x:v>159</x:v>
      </x:c>
      <x:c r="H12" s="10" t="s">
        <x:v>162</x:v>
      </x:c>
      <x:c r="I12" s="37" t="n">
        <x:v>2</x:v>
      </x:c>
      <x:c r="J12" s="11">
        <x:v>0.2</x:v>
      </x:c>
      <x:c r="K12" s="11">
        <x:f t="shared" si="1"/>
        <x:v>0.4</x:v>
      </x:c>
      <x:c r="L12" s="12" t="s">
        <x:v>38</x:v>
      </x:c>
      <x:c r="M12" s="13" t="s">
        <x:v>39</x:v>
      </x:c>
      <x:c r="N12" s="9" t="s">
        <x:v>163</x:v>
      </x:c>
      <x:c r="O12" s="10" t="s">
        <x:v>159</x:v>
      </x:c>
      <x:c r="P12" s="10" t="s">
        <x:v>68</x:v>
      </x:c>
      <x:c r="Q12" s="10" t="s">
        <x:v>164</x:v>
      </x:c>
      <x:c r="R12" s="10" t="s">
        <x:v>165</x:v>
      </x:c>
      <x:c r="S12" s="10" t="s">
        <x:v>166</x:v>
      </x:c>
      <x:c r="T12" s="12" t="s">
        <x:v>161</x:v>
      </x:c>
      <x:c r="U12" s="14" t="s">
        <x:v>167</x:v>
      </x:c>
      <x:c r="V12" s="9" t="s">
        <x:v>61</x:v>
      </x:c>
      <x:c r="W12" s="10" t="s">
        <x:v>62</x:v>
      </x:c>
      <x:c r="X12" s="10" t="s">
        <x:v>63</x:v>
      </x:c>
      <x:c r="Y12" s="10" t="s">
        <x:v>78</x:v>
      </x:c>
      <x:c r="Z12" s="10" t="s">
        <x:v>168</x:v>
      </x:c>
      <x:c r="AA12" s="41" t="n">
        <x:v>2</x:v>
      </x:c>
      <x:c r="AB12" s="10" t="s">
        <x:v>169</x:v>
      </x:c>
      <x:c r="AC12" s="12" t="s">
        <x:v>48</x:v>
      </x:c>
      <x:c r="AD12" s="16">
        <x:f t="shared" si="0"/>
        <x:v>0.52</x:v>
      </x:c>
      <x:c r="AE12" s="17"/>
    </x:row>
    <x:row r="13" ht="16.5">
      <x:c r="A13" s="9" t="s">
        <x:v>170</x:v>
      </x:c>
      <x:c r="B13" s="10" t="s">
        <x:v>68</x:v>
      </x:c>
      <x:c r="C13" s="10" t="s">
        <x:v>160</x:v>
      </x:c>
      <x:c r="D13" s="10"/>
      <x:c r="E13" s="10" t="s">
        <x:v>171</x:v>
      </x:c>
      <x:c r="F13" s="10" t="s">
        <x:v>172</x:v>
      </x:c>
      <x:c r="G13" s="10" t="s">
        <x:v>170</x:v>
      </x:c>
      <x:c r="H13" s="10" t="s">
        <x:v>173</x:v>
      </x:c>
      <x:c r="I13" s="37" t="n">
        <x:v>1</x:v>
      </x:c>
      <x:c r="J13" s="11">
        <x:v>0.2</x:v>
      </x:c>
      <x:c r="K13" s="11">
        <x:f t="shared" si="1"/>
        <x:v>0.2</x:v>
      </x:c>
      <x:c r="L13" s="12" t="s">
        <x:v>38</x:v>
      </x:c>
      <x:c r="M13" s="13" t="s">
        <x:v>39</x:v>
      </x:c>
      <x:c r="N13" s="9" t="s">
        <x:v>163</x:v>
      </x:c>
      <x:c r="O13" s="10" t="s">
        <x:v>170</x:v>
      </x:c>
      <x:c r="P13" s="10" t="s">
        <x:v>68</x:v>
      </x:c>
      <x:c r="Q13" s="10" t="s">
        <x:v>164</x:v>
      </x:c>
      <x:c r="R13" s="10" t="s">
        <x:v>174</x:v>
      </x:c>
      <x:c r="S13" s="10" t="s">
        <x:v>166</x:v>
      </x:c>
      <x:c r="T13" s="12" t="s">
        <x:v>171</x:v>
      </x:c>
      <x:c r="U13" s="14" t="s">
        <x:v>175</x:v>
      </x:c>
      <x:c r="V13" s="9" t="s">
        <x:v>61</x:v>
      </x:c>
      <x:c r="W13" s="10" t="s">
        <x:v>62</x:v>
      </x:c>
      <x:c r="X13" s="10" t="s">
        <x:v>146</x:v>
      </x:c>
      <x:c r="Y13" s="10" t="s">
        <x:v>78</x:v>
      </x:c>
      <x:c r="Z13" s="10" t="s">
        <x:v>176</x:v>
      </x:c>
      <x:c r="AA13" s="41" t="n">
        <x:v>1</x:v>
      </x:c>
      <x:c r="AB13" s="10" t="s">
        <x:v>177</x:v>
      </x:c>
      <x:c r="AC13" s="12" t="s">
        <x:v>48</x:v>
      </x:c>
      <x:c r="AD13" s="16">
        <x:f t="shared" si="0"/>
        <x:v>6.02</x:v>
      </x:c>
      <x:c r="AE13" s="17"/>
    </x:row>
    <x:row r="14" ht="16.5">
      <x:c r="A14" s="9" t="s">
        <x:v>178</x:v>
      </x:c>
      <x:c r="B14" s="10" t="s">
        <x:v>179</x:v>
      </x:c>
      <x:c r="C14" s="10" t="s">
        <x:v>180</x:v>
      </x:c>
      <x:c r="D14" s="10"/>
      <x:c r="E14" s="10" t="s">
        <x:v>181</x:v>
      </x:c>
      <x:c r="F14" s="10" t="s">
        <x:v>182</x:v>
      </x:c>
      <x:c r="G14" s="10" t="s">
        <x:v>178</x:v>
      </x:c>
      <x:c r="H14" s="10" t="s">
        <x:v>183</x:v>
      </x:c>
      <x:c r="I14" s="37" t="n">
        <x:v>1</x:v>
      </x:c>
      <x:c r="J14" s="11">
        <x:v>0.1</x:v>
      </x:c>
      <x:c r="K14" s="11">
        <x:f t="shared" si="1"/>
        <x:v>0.1</x:v>
      </x:c>
      <x:c r="L14" s="12" t="s">
        <x:v>38</x:v>
      </x:c>
      <x:c r="M14" s="13" t="s">
        <x:v>39</x:v>
      </x:c>
      <x:c r="N14" s="9" t="s">
        <x:v>184</x:v>
      </x:c>
      <x:c r="O14" s="10" t="s">
        <x:v>178</x:v>
      </x:c>
      <x:c r="P14" s="10" t="s">
        <x:v>179</x:v>
      </x:c>
      <x:c r="Q14" s="10" t="s">
        <x:v>185</x:v>
      </x:c>
      <x:c r="R14" s="10" t="s">
        <x:v>186</x:v>
      </x:c>
      <x:c r="S14" s="10" t="s">
        <x:v>76</x:v>
      </x:c>
      <x:c r="T14" s="12" t="s">
        <x:v>181</x:v>
      </x:c>
      <x:c r="U14" s="14" t="s">
        <x:v>187</x:v>
      </x:c>
      <x:c r="V14" s="9" t="s">
        <x:v>61</x:v>
      </x:c>
      <x:c r="W14" s="10" t="s">
        <x:v>62</x:v>
      </x:c>
      <x:c r="X14" s="10" t="s">
        <x:v>188</x:v>
      </x:c>
      <x:c r="Y14" s="10" t="s">
        <x:v>78</x:v>
      </x:c>
      <x:c r="Z14" s="10" t="s">
        <x:v>189</x:v>
      </x:c>
      <x:c r="AA14" s="41" t="n">
        <x:v>1</x:v>
      </x:c>
      <x:c r="AB14" s="10" t="s">
        <x:v>190</x:v>
      </x:c>
      <x:c r="AC14" s="12" t="s">
        <x:v>48</x:v>
      </x:c>
      <x:c r="AD14" s="16">
        <x:f t="shared" si="0"/>
        <x:v>4.31</x:v>
      </x:c>
      <x:c r="AE14" s="17"/>
    </x:row>
    <x:row r="15" ht="16.5">
      <x:c r="A15" s="9" t="s">
        <x:v>191</x:v>
      </x:c>
      <x:c r="B15" s="10" t="s">
        <x:v>192</x:v>
      </x:c>
      <x:c r="C15" s="10" t="s">
        <x:v>193</x:v>
      </x:c>
      <x:c r="D15" s="10"/>
      <x:c r="E15" s="10" t="s">
        <x:v>194</x:v>
      </x:c>
      <x:c r="F15" s="10" t="s">
        <x:v>195</x:v>
      </x:c>
      <x:c r="G15" s="10" t="s">
        <x:v>191</x:v>
      </x:c>
      <x:c r="H15" s="10" t="s">
        <x:v>196</x:v>
      </x:c>
      <x:c r="I15" s="37" t="n">
        <x:v>4</x:v>
      </x:c>
      <x:c r="J15" s="11">
        <x:v>24</x:v>
      </x:c>
      <x:c r="K15" s="42">
        <x:f t="shared" si="1"/>
        <x:v>48</x:v>
      </x:c>
      <x:c r="L15" s="12" t="s">
        <x:v>38</x:v>
      </x:c>
      <x:c r="M15" s="13" t="s">
        <x:v>39</x:v>
      </x:c>
      <x:c r="N15" s="9" t="s">
        <x:v>197</x:v>
      </x:c>
      <x:c r="O15" s="10" t="s">
        <x:v>191</x:v>
      </x:c>
      <x:c r="P15" s="10" t="s">
        <x:v>192</x:v>
      </x:c>
      <x:c r="Q15" s="10" t="s">
        <x:v>198</x:v>
      </x:c>
      <x:c r="R15" s="10" t="s">
        <x:v>199</x:v>
      </x:c>
      <x:c r="S15" s="10" t="s">
        <x:v>76</x:v>
      </x:c>
      <x:c r="T15" s="12" t="s">
        <x:v>194</x:v>
      </x:c>
      <x:c r="U15" s="14" t="s">
        <x:v>200</x:v>
      </x:c>
      <x:c r="V15" s="9" t="s">
        <x:v>61</x:v>
      </x:c>
      <x:c r="W15" s="10" t="s">
        <x:v>62</x:v>
      </x:c>
      <x:c r="X15" s="10" t="s">
        <x:v>35</x:v>
      </x:c>
      <x:c r="Y15" s="10" t="s">
        <x:v>201</x:v>
      </x:c>
      <x:c r="Z15" s="10" t="s">
        <x:v>202</x:v>
      </x:c>
      <x:c r="AA15" s="18">
        <x:v>4</x:v>
      </x:c>
      <x:c r="AB15" s="10" t="s">
        <x:v>203</x:v>
      </x:c>
      <x:c r="AC15" s="12" t="s">
        <x:v>48</x:v>
      </x:c>
      <x:c r="AD15" s="16">
        <x:f t="shared" si="0"/>
        <x:v>103.04</x:v>
      </x:c>
      <x:c r="AE15" s="39" t="str">
        <x:v>1块板用2颗，备用2颗；购买数量2→4；采购数量2→4；含1块板用量及备件</x:v>
      </x:c>
    </x:row>
    <x:row r="16" ht="16.5">
      <x:c r="A16" s="9" t="s">
        <x:v>204</x:v>
      </x:c>
      <x:c r="B16" s="10" t="s">
        <x:v>205</x:v>
      </x:c>
      <x:c r="C16" s="10" t="s">
        <x:v>206</x:v>
      </x:c>
      <x:c r="D16" s="10"/>
      <x:c r="E16" s="10" t="s">
        <x:v>207</x:v>
      </x:c>
      <x:c r="F16" s="10" t="s">
        <x:v>208</x:v>
      </x:c>
      <x:c r="G16" s="10" t="s">
        <x:v>209</x:v>
      </x:c>
      <x:c r="H16" s="10" t="s">
        <x:v>210</x:v>
      </x:c>
      <x:c r="I16" s="37" t="n">
        <x:v>1</x:v>
      </x:c>
      <x:c r="J16" s="11"/>
      <x:c r="K16" s="11">
        <x:v>1</x:v>
      </x:c>
      <x:c r="L16" s="12" t="s">
        <x:v>38</x:v>
      </x:c>
      <x:c r="M16" s="13" t="s">
        <x:v>39</x:v>
      </x:c>
      <x:c r="N16" s="9" t="s">
        <x:v>211</x:v>
      </x:c>
      <x:c r="O16" s="10" t="s">
        <x:v>204</x:v>
      </x:c>
      <x:c r="P16" s="10" t="s">
        <x:v>205</x:v>
      </x:c>
      <x:c r="Q16" s="10" t="s">
        <x:v>143</x:v>
      </x:c>
      <x:c r="R16" s="10" t="s">
        <x:v>212</x:v>
      </x:c>
      <x:c r="S16" s="10" t="s">
        <x:v>91</x:v>
      </x:c>
      <x:c r="T16" s="12" t="s">
        <x:v>207</x:v>
      </x:c>
      <x:c r="U16" s="14" t="s">
        <x:v>213</x:v>
      </x:c>
      <x:c r="V16" s="9" t="s">
        <x:v>61</x:v>
      </x:c>
      <x:c r="W16" s="10" t="s">
        <x:v>62</x:v>
      </x:c>
      <x:c r="X16" s="10" t="s">
        <x:v>121</x:v>
      </x:c>
      <x:c r="Y16" s="10" t="s">
        <x:v>122</x:v>
      </x:c>
      <x:c r="Z16" s="10" t="s">
        <x:v>214</x:v>
      </x:c>
      <x:c r="AA16" s="41" t="n">
        <x:v>1</x:v>
      </x:c>
      <x:c r="AB16" s="10" t="s">
        <x:v>215</x:v>
      </x:c>
      <x:c r="AC16" s="12" t="s">
        <x:v>48</x:v>
      </x:c>
      <x:c r="AD16" s="16">
        <x:f t="shared" si="0"/>
        <x:v>1.37</x:v>
      </x:c>
      <x:c r="AE16" s="17"/>
    </x:row>
    <x:row r="17" ht="16.5">
      <x:c r="A17" s="9" t="s">
        <x:v>216</x:v>
      </x:c>
      <x:c r="B17" s="10" t="s">
        <x:v>98</x:v>
      </x:c>
      <x:c r="C17" s="10" t="s">
        <x:v>217</x:v>
      </x:c>
      <x:c r="D17" s="10"/>
      <x:c r="E17" s="10" t="s">
        <x:v>218</x:v>
      </x:c>
      <x:c r="F17" s="10" t="s">
        <x:v>219</x:v>
      </x:c>
      <x:c r="G17" s="10" t="s">
        <x:v>220</x:v>
      </x:c>
      <x:c r="H17" s="10" t="s">
        <x:v>221</x:v>
      </x:c>
      <x:c r="I17" s="10" t="s">
        <x:v>37</x:v>
      </x:c>
      <x:c r="J17" s="11">
        <x:v>0.5</x:v>
      </x:c>
      <x:c r="K17" s="11">
        <x:f t="shared" si="1"/>
        <x:v>1</x:v>
      </x:c>
      <x:c r="L17" s="12" t="s">
        <x:v>38</x:v>
      </x:c>
      <x:c r="M17" s="13" t="s">
        <x:v>39</x:v>
      </x:c>
      <x:c r="N17" s="9" t="s">
        <x:v>222</x:v>
      </x:c>
      <x:c r="O17" s="10" t="s">
        <x:v>216</x:v>
      </x:c>
      <x:c r="P17" s="10" t="s">
        <x:v>98</x:v>
      </x:c>
      <x:c r="Q17" s="10" t="s">
        <x:v>223</x:v>
      </x:c>
      <x:c r="R17" s="10" t="s">
        <x:v>224</x:v>
      </x:c>
      <x:c r="S17" s="10" t="s">
        <x:v>59</x:v>
      </x:c>
      <x:c r="T17" s="12" t="s">
        <x:v>218</x:v>
      </x:c>
      <x:c r="U17" s="14" t="s">
        <x:v>225</x:v>
      </x:c>
      <x:c r="V17" s="9" t="s">
        <x:v>61</x:v>
      </x:c>
      <x:c r="W17" s="10" t="s">
        <x:v>62</x:v>
      </x:c>
      <x:c r="X17" s="10" t="s">
        <x:v>35</x:v>
      </x:c>
      <x:c r="Y17" s="10" t="s">
        <x:v>226</x:v>
      </x:c>
      <x:c r="Z17" s="10" t="s">
        <x:v>227</x:v>
      </x:c>
      <x:c r="AA17" s="15" t="s">
        <x:v>37</x:v>
      </x:c>
      <x:c r="AB17" s="10" t="s">
        <x:v>228</x:v>
      </x:c>
      <x:c r="AC17" s="12" t="s">
        <x:v>48</x:v>
      </x:c>
      <x:c r="AD17" s="16">
        <x:f t="shared" si="0"/>
        <x:v>6.48</x:v>
      </x:c>
      <x:c r="AE17" s="17"/>
    </x:row>
    <x:row r="18" ht="16.5">
      <x:c r="A18" s="9" t="s">
        <x:v>229</x:v>
      </x:c>
      <x:c r="B18" s="10" t="s">
        <x:v>230</x:v>
      </x:c>
      <x:c r="C18" s="10" t="s">
        <x:v>231</x:v>
      </x:c>
      <x:c r="D18" s="10"/>
      <x:c r="E18" s="10" t="s">
        <x:v>232</x:v>
      </x:c>
      <x:c r="F18" s="10" t="s">
        <x:v>233</x:v>
      </x:c>
      <x:c r="G18" s="10" t="s">
        <x:v>229</x:v>
      </x:c>
      <x:c r="H18" s="10" t="s">
        <x:v>234</x:v>
      </x:c>
      <x:c r="I18" s="37" t="n">
        <x:v>4</x:v>
      </x:c>
      <x:c r="J18" s="11">
        <x:v>0.1</x:v>
      </x:c>
      <x:c r="K18" s="11">
        <x:f t="shared" si="1"/>
        <x:v>0.4</x:v>
      </x:c>
      <x:c r="L18" s="12" t="s">
        <x:v>38</x:v>
      </x:c>
      <x:c r="M18" s="13" t="s">
        <x:v>39</x:v>
      </x:c>
      <x:c r="N18" s="9" t="s">
        <x:v>235</x:v>
      </x:c>
      <x:c r="O18" s="10" t="s">
        <x:v>229</x:v>
      </x:c>
      <x:c r="P18" s="10" t="s">
        <x:v>230</x:v>
      </x:c>
      <x:c r="Q18" s="10" t="s">
        <x:v>143</x:v>
      </x:c>
      <x:c r="R18" s="10" t="s">
        <x:v>236</x:v>
      </x:c>
      <x:c r="S18" s="10" t="s">
        <x:v>237</x:v>
      </x:c>
      <x:c r="T18" s="12" t="s">
        <x:v>232</x:v>
      </x:c>
      <x:c r="U18" s="14" t="s">
        <x:v>238</x:v>
      </x:c>
      <x:c r="V18" s="9" t="s">
        <x:v>61</x:v>
      </x:c>
      <x:c r="W18" s="10" t="s">
        <x:v>62</x:v>
      </x:c>
      <x:c r="X18" s="10" t="s">
        <x:v>146</x:v>
      </x:c>
      <x:c r="Y18" s="10" t="s">
        <x:v>94</x:v>
      </x:c>
      <x:c r="Z18" s="10" t="s">
        <x:v>239</x:v>
      </x:c>
      <x:c r="AA18" s="41" t="n">
        <x:v>4</x:v>
      </x:c>
      <x:c r="AB18" s="10" t="s">
        <x:v>240</x:v>
      </x:c>
      <x:c r="AC18" s="12" t="s">
        <x:v>48</x:v>
      </x:c>
      <x:c r="AD18" s="16">
        <x:f t="shared" si="0"/>
        <x:v>3.24</x:v>
      </x:c>
      <x:c r="AE18" s="17"/>
    </x:row>
    <x:row r="19" ht="16.5">
      <x:c r="A19" s="9" t="s">
        <x:v>241</x:v>
      </x:c>
      <x:c r="B19" s="10" t="s">
        <x:v>242</x:v>
      </x:c>
      <x:c r="C19" s="10" t="s">
        <x:v>243</x:v>
      </x:c>
      <x:c r="D19" s="10"/>
      <x:c r="E19" s="10" t="s">
        <x:v>244</x:v>
      </x:c>
      <x:c r="F19" s="10" t="s">
        <x:v>245</x:v>
      </x:c>
      <x:c r="G19" s="10" t="s">
        <x:v>241</x:v>
      </x:c>
      <x:c r="H19" s="10" t="s">
        <x:v>246</x:v>
      </x:c>
      <x:c r="I19" s="37" t="n">
        <x:v>2</x:v>
      </x:c>
      <x:c r="J19" s="11">
        <x:v>8</x:v>
      </x:c>
      <x:c r="K19" s="42">
        <x:f t="shared" si="1"/>
        <x:v>8</x:v>
      </x:c>
      <x:c r="L19" s="12" t="s">
        <x:v>38</x:v>
      </x:c>
      <x:c r="M19" s="13" t="s">
        <x:v>39</x:v>
      </x:c>
      <x:c r="N19" s="9" t="s">
        <x:v>247</x:v>
      </x:c>
      <x:c r="O19" s="10" t="s">
        <x:v>241</x:v>
      </x:c>
      <x:c r="P19" s="10" t="s">
        <x:v>242</x:v>
      </x:c>
      <x:c r="Q19" s="10" t="s">
        <x:v>248</x:v>
      </x:c>
      <x:c r="R19" s="10" t="s">
        <x:v>249</x:v>
      </x:c>
      <x:c r="S19" s="10" t="s">
        <x:v>76</x:v>
      </x:c>
      <x:c r="T19" s="12" t="s">
        <x:v>244</x:v>
      </x:c>
      <x:c r="U19" s="14" t="s">
        <x:v>250</x:v>
      </x:c>
      <x:c r="V19" s="9" t="s">
        <x:v>61</x:v>
      </x:c>
      <x:c r="W19" s="10" t="s">
        <x:v>62</x:v>
      </x:c>
      <x:c r="X19" s="10" t="s">
        <x:v>35</x:v>
      </x:c>
      <x:c r="Y19" s="10" t="s">
        <x:v>122</x:v>
      </x:c>
      <x:c r="Z19" s="10" t="s">
        <x:v>251</x:v>
      </x:c>
      <x:c r="AA19" s="18">
        <x:v>2</x:v>
      </x:c>
      <x:c r="AB19" s="10" t="s">
        <x:v>252</x:v>
      </x:c>
      <x:c r="AC19" s="12" t="s">
        <x:v>48</x:v>
      </x:c>
      <x:c r="AD19" s="16">
        <x:f t="shared" si="0"/>
        <x:v>18.24</x:v>
      </x:c>
      <x:c r="AE19" s="39" t="str">
        <x:v>1块板用1颗，备用1颗；购买数量1→2；采购数量1→2；含1块板用量及备件</x:v>
      </x:c>
    </x:row>
    <x:row r="20" ht="16.5">
      <x:c r="A20" s="9" t="s">
        <x:v>253</x:v>
      </x:c>
      <x:c r="B20" s="10" t="s">
        <x:v>254</x:v>
      </x:c>
      <x:c r="C20" s="10" t="s">
        <x:v>255</x:v>
      </x:c>
      <x:c r="D20" s="10"/>
      <x:c r="E20" s="10" t="s">
        <x:v>256</x:v>
      </x:c>
      <x:c r="F20" s="10" t="s">
        <x:v>257</x:v>
      </x:c>
      <x:c r="G20" s="10" t="s">
        <x:v>253</x:v>
      </x:c>
      <x:c r="H20" s="10" t="s">
        <x:v>258</x:v>
      </x:c>
      <x:c r="I20" s="37" t="n">
        <x:v>2</x:v>
      </x:c>
      <x:c r="J20" s="11">
        <x:v>28</x:v>
      </x:c>
      <x:c r="K20" s="42">
        <x:f t="shared" si="1"/>
        <x:v>28</x:v>
      </x:c>
      <x:c r="L20" s="12" t="s">
        <x:v>38</x:v>
      </x:c>
      <x:c r="M20" s="13" t="s">
        <x:v>39</x:v>
      </x:c>
      <x:c r="N20" s="9" t="s">
        <x:v>259</x:v>
      </x:c>
      <x:c r="O20" s="10" t="s">
        <x:v>253</x:v>
      </x:c>
      <x:c r="P20" s="10" t="s">
        <x:v>254</x:v>
      </x:c>
      <x:c r="Q20" s="10" t="s">
        <x:v>260</x:v>
      </x:c>
      <x:c r="R20" s="10" t="s">
        <x:v>261</x:v>
      </x:c>
      <x:c r="S20" s="10" t="s">
        <x:v>262</x:v>
      </x:c>
      <x:c r="T20" s="12" t="s">
        <x:v>256</x:v>
      </x:c>
      <x:c r="U20" s="14" t="s">
        <x:v>263</x:v>
      </x:c>
      <x:c r="V20" s="9" t="s">
        <x:v>61</x:v>
      </x:c>
      <x:c r="W20" s="10" t="s">
        <x:v>62</x:v>
      </x:c>
      <x:c r="X20" s="10" t="s">
        <x:v>35</x:v>
      </x:c>
      <x:c r="Y20" s="10" t="s">
        <x:v>264</x:v>
      </x:c>
      <x:c r="Z20" s="10" t="s">
        <x:v>265</x:v>
      </x:c>
      <x:c r="AA20" s="18">
        <x:v>2</x:v>
      </x:c>
      <x:c r="AB20" s="10" t="s">
        <x:v>266</x:v>
      </x:c>
      <x:c r="AC20" s="12" t="s">
        <x:v>48</x:v>
      </x:c>
      <x:c r="AD20" s="16">
        <x:f t="shared" si="0"/>
        <x:v>60.86</x:v>
      </x:c>
      <x:c r="AE20" s="39" t="str">
        <x:v>1块板用1颗，备用1颗；购买数量1→2；采购数量1→2；含1块板用量及备件</x:v>
      </x:c>
    </x:row>
    <x:row r="21" ht="16.5">
      <x:c r="A21" s="9" t="s">
        <x:v>267</x:v>
      </x:c>
      <x:c r="B21" s="10" t="s">
        <x:v>136</x:v>
      </x:c>
      <x:c r="C21" s="10" t="s">
        <x:v>137</x:v>
      </x:c>
      <x:c r="D21" s="10"/>
      <x:c r="E21" s="10" t="s">
        <x:v>268</x:v>
      </x:c>
      <x:c r="F21" s="10" t="s">
        <x:v>269</x:v>
      </x:c>
      <x:c r="G21" s="10" t="s">
        <x:v>270</x:v>
      </x:c>
      <x:c r="H21" s="10" t="s">
        <x:v>271</x:v>
      </x:c>
      <x:c r="I21" s="37" t="n">
        <x:v>2</x:v>
      </x:c>
      <x:c r="J21" s="11"/>
      <x:c r="K21" s="11">
        <x:v>1</x:v>
      </x:c>
      <x:c r="L21" s="12" t="s">
        <x:v>38</x:v>
      </x:c>
      <x:c r="M21" s="13" t="s">
        <x:v>39</x:v>
      </x:c>
      <x:c r="N21" s="9" t="s">
        <x:v>272</x:v>
      </x:c>
      <x:c r="O21" s="10" t="s">
        <x:v>267</x:v>
      </x:c>
      <x:c r="P21" s="10" t="s">
        <x:v>136</x:v>
      </x:c>
      <x:c r="Q21" s="10" t="s">
        <x:v>143</x:v>
      </x:c>
      <x:c r="R21" s="10" t="s">
        <x:v>273</x:v>
      </x:c>
      <x:c r="S21" s="10" t="s">
        <x:v>59</x:v>
      </x:c>
      <x:c r="T21" s="12" t="s">
        <x:v>268</x:v>
      </x:c>
      <x:c r="U21" s="14" t="s">
        <x:v>274</x:v>
      </x:c>
      <x:c r="V21" s="9" t="s">
        <x:v>61</x:v>
      </x:c>
      <x:c r="W21" s="10" t="s">
        <x:v>62</x:v>
      </x:c>
      <x:c r="X21" s="10" t="s">
        <x:v>146</x:v>
      </x:c>
      <x:c r="Y21" s="10" t="s">
        <x:v>94</x:v>
      </x:c>
      <x:c r="Z21" s="10" t="s">
        <x:v>275</x:v>
      </x:c>
      <x:c r="AA21" s="41" t="n">
        <x:v>2</x:v>
      </x:c>
      <x:c r="AB21" s="10" t="s">
        <x:v>276</x:v>
      </x:c>
      <x:c r="AC21" s="12" t="s">
        <x:v>48</x:v>
      </x:c>
      <x:c r="AD21" s="16">
        <x:f t="shared" si="0"/>
        <x:v>5.89</x:v>
      </x:c>
      <x:c r="AE21" s="17"/>
    </x:row>
    <x:row r="22" ht="16.5">
      <x:c r="A22" s="9" t="s">
        <x:v>277</x:v>
      </x:c>
      <x:c r="B22" s="10" t="s">
        <x:v>136</x:v>
      </x:c>
      <x:c r="C22" s="10" t="s">
        <x:v>137</x:v>
      </x:c>
      <x:c r="D22" s="10"/>
      <x:c r="E22" s="10" t="s">
        <x:v>278</x:v>
      </x:c>
      <x:c r="F22" s="10" t="s">
        <x:v>188</x:v>
      </x:c>
      <x:c r="G22" s="10" t="s">
        <x:v>279</x:v>
      </x:c>
      <x:c r="H22" s="10" t="s">
        <x:v>280</x:v>
      </x:c>
      <x:c r="I22" s="37" t="n">
        <x:v>1</x:v>
      </x:c>
      <x:c r="J22" s="11"/>
      <x:c r="K22" s="11">
        <x:v>1</x:v>
      </x:c>
      <x:c r="L22" s="12" t="s">
        <x:v>38</x:v>
      </x:c>
      <x:c r="M22" s="13" t="s">
        <x:v>39</x:v>
      </x:c>
      <x:c r="N22" s="9" t="s">
        <x:v>281</x:v>
      </x:c>
      <x:c r="O22" s="10" t="s">
        <x:v>277</x:v>
      </x:c>
      <x:c r="P22" s="10" t="s">
        <x:v>136</x:v>
      </x:c>
      <x:c r="Q22" s="10" t="s">
        <x:v>143</x:v>
      </x:c>
      <x:c r="R22" s="10" t="s">
        <x:v>282</x:v>
      </x:c>
      <x:c r="S22" s="10" t="s">
        <x:v>59</x:v>
      </x:c>
      <x:c r="T22" s="12" t="s">
        <x:v>278</x:v>
      </x:c>
      <x:c r="U22" s="14" t="s">
        <x:v>283</x:v>
      </x:c>
      <x:c r="V22" s="9" t="s">
        <x:v>61</x:v>
      </x:c>
      <x:c r="W22" s="10" t="s">
        <x:v>62</x:v>
      </x:c>
      <x:c r="X22" s="10" t="s">
        <x:v>121</x:v>
      </x:c>
      <x:c r="Y22" s="10" t="s">
        <x:v>94</x:v>
      </x:c>
      <x:c r="Z22" s="10" t="s">
        <x:v>284</x:v>
      </x:c>
      <x:c r="AA22" s="41" t="n">
        <x:v>1</x:v>
      </x:c>
      <x:c r="AB22" s="10" t="s">
        <x:v>285</x:v>
      </x:c>
      <x:c r="AC22" s="12" t="s">
        <x:v>48</x:v>
      </x:c>
      <x:c r="AD22" s="16">
        <x:f t="shared" si="0"/>
        <x:v>3.06</x:v>
      </x:c>
      <x:c r="AE22" s="17"/>
    </x:row>
    <x:row r="23" ht="16.5">
      <x:c r="A23" s="9" t="s">
        <x:v>286</x:v>
      </x:c>
      <x:c r="B23" s="10" t="s">
        <x:v>287</x:v>
      </x:c>
      <x:c r="C23" s="10" t="s">
        <x:v>137</x:v>
      </x:c>
      <x:c r="D23" s="10"/>
      <x:c r="E23" s="10" t="s">
        <x:v>288</x:v>
      </x:c>
      <x:c r="F23" s="10" t="s">
        <x:v>289</x:v>
      </x:c>
      <x:c r="G23" s="10" t="s">
        <x:v>290</x:v>
      </x:c>
      <x:c r="H23" s="10" t="s">
        <x:v>291</x:v>
      </x:c>
      <x:c r="I23" s="37" t="n">
        <x:v>1</x:v>
      </x:c>
      <x:c r="J23" s="11"/>
      <x:c r="K23" s="11">
        <x:v>1</x:v>
      </x:c>
      <x:c r="L23" s="12" t="s">
        <x:v>38</x:v>
      </x:c>
      <x:c r="M23" s="13" t="s">
        <x:v>39</x:v>
      </x:c>
      <x:c r="N23" s="9" t="s">
        <x:v>292</x:v>
      </x:c>
      <x:c r="O23" s="10" t="s">
        <x:v>286</x:v>
      </x:c>
      <x:c r="P23" s="10" t="s">
        <x:v>287</x:v>
      </x:c>
      <x:c r="Q23" s="10" t="s">
        <x:v>143</x:v>
      </x:c>
      <x:c r="R23" s="10" t="s">
        <x:v>293</x:v>
      </x:c>
      <x:c r="S23" s="10" t="s">
        <x:v>59</x:v>
      </x:c>
      <x:c r="T23" s="12" t="s">
        <x:v>288</x:v>
      </x:c>
      <x:c r="U23" s="14" t="s">
        <x:v>294</x:v>
      </x:c>
      <x:c r="V23" s="9" t="s">
        <x:v>61</x:v>
      </x:c>
      <x:c r="W23" s="10" t="s">
        <x:v>62</x:v>
      </x:c>
      <x:c r="X23" s="10" t="s">
        <x:v>188</x:v>
      </x:c>
      <x:c r="Y23" s="10" t="s">
        <x:v>94</x:v>
      </x:c>
      <x:c r="Z23" s="10" t="s">
        <x:v>295</x:v>
      </x:c>
      <x:c r="AA23" s="41" t="n">
        <x:v>1</x:v>
      </x:c>
      <x:c r="AB23" s="10" t="s">
        <x:v>296</x:v>
      </x:c>
      <x:c r="AC23" s="12" t="s">
        <x:v>48</x:v>
      </x:c>
      <x:c r="AD23" s="16">
        <x:f t="shared" si="0"/>
        <x:v>1.01</x:v>
      </x:c>
      <x:c r="AE23" s="17"/>
    </x:row>
    <x:row r="24" ht="16.5">
      <x:c r="A24" s="9" t="s">
        <x:v>297</x:v>
      </x:c>
      <x:c r="B24" s="10" t="s">
        <x:v>287</x:v>
      </x:c>
      <x:c r="C24" s="10" t="s">
        <x:v>137</x:v>
      </x:c>
      <x:c r="D24" s="10"/>
      <x:c r="E24" s="10" t="s">
        <x:v>298</x:v>
      </x:c>
      <x:c r="F24" s="10" t="s">
        <x:v>299</x:v>
      </x:c>
      <x:c r="G24" s="10" t="s">
        <x:v>300</x:v>
      </x:c>
      <x:c r="H24" s="10" t="s">
        <x:v>301</x:v>
      </x:c>
      <x:c r="I24" s="37" t="n">
        <x:v>1</x:v>
      </x:c>
      <x:c r="J24" s="11"/>
      <x:c r="K24" s="11">
        <x:v>1</x:v>
      </x:c>
      <x:c r="L24" s="12" t="s">
        <x:v>38</x:v>
      </x:c>
      <x:c r="M24" s="13" t="s">
        <x:v>39</x:v>
      </x:c>
      <x:c r="N24" s="9" t="s">
        <x:v>302</x:v>
      </x:c>
      <x:c r="O24" s="10" t="s">
        <x:v>297</x:v>
      </x:c>
      <x:c r="P24" s="10" t="s">
        <x:v>287</x:v>
      </x:c>
      <x:c r="Q24" s="10" t="s">
        <x:v>143</x:v>
      </x:c>
      <x:c r="R24" s="10" t="s">
        <x:v>303</x:v>
      </x:c>
      <x:c r="S24" s="10" t="s">
        <x:v>59</x:v>
      </x:c>
      <x:c r="T24" s="12" t="s">
        <x:v>298</x:v>
      </x:c>
      <x:c r="U24" s="14" t="s">
        <x:v>304</x:v>
      </x:c>
      <x:c r="V24" s="9" t="s">
        <x:v>61</x:v>
      </x:c>
      <x:c r="W24" s="10" t="s">
        <x:v>62</x:v>
      </x:c>
      <x:c r="X24" s="10" t="s">
        <x:v>188</x:v>
      </x:c>
      <x:c r="Y24" s="10" t="s">
        <x:v>94</x:v>
      </x:c>
      <x:c r="Z24" s="10" t="s">
        <x:v>305</x:v>
      </x:c>
      <x:c r="AA24" s="41" t="n">
        <x:v>1</x:v>
      </x:c>
      <x:c r="AB24" s="10" t="s">
        <x:v>306</x:v>
      </x:c>
      <x:c r="AC24" s="12" t="s">
        <x:v>48</x:v>
      </x:c>
      <x:c r="AD24" s="16">
        <x:f t="shared" si="0"/>
        <x:v>5.53</x:v>
      </x:c>
      <x:c r="AE24" s="17"/>
    </x:row>
    <x:row r="25" ht="16.5">
      <x:c r="A25" s="9" t="s">
        <x:v>307</x:v>
      </x:c>
      <x:c r="B25" s="10" t="s">
        <x:v>308</x:v>
      </x:c>
      <x:c r="C25" s="10" t="s">
        <x:v>309</x:v>
      </x:c>
      <x:c r="D25" s="10"/>
      <x:c r="E25" s="10" t="s">
        <x:v>310</x:v>
      </x:c>
      <x:c r="F25" s="10" t="s">
        <x:v>311</x:v>
      </x:c>
      <x:c r="G25" s="10" t="s">
        <x:v>307</x:v>
      </x:c>
      <x:c r="H25" s="10" t="s">
        <x:v>312</x:v>
      </x:c>
      <x:c r="I25" s="37" t="n">
        <x:v>2</x:v>
      </x:c>
      <x:c r="J25" s="11">
        <x:v>2</x:v>
      </x:c>
      <x:c r="K25" s="42">
        <x:f t="shared" si="1"/>
        <x:v>2</x:v>
      </x:c>
      <x:c r="L25" s="12" t="s">
        <x:v>38</x:v>
      </x:c>
      <x:c r="M25" s="13" t="s">
        <x:v>39</x:v>
      </x:c>
      <x:c r="N25" s="9" t="s">
        <x:v>313</x:v>
      </x:c>
      <x:c r="O25" s="10" t="s">
        <x:v>307</x:v>
      </x:c>
      <x:c r="P25" s="10" t="s">
        <x:v>308</x:v>
      </x:c>
      <x:c r="Q25" s="10" t="s">
        <x:v>314</x:v>
      </x:c>
      <x:c r="R25" s="10" t="s">
        <x:v>315</x:v>
      </x:c>
      <x:c r="S25" s="10" t="s">
        <x:v>316</x:v>
      </x:c>
      <x:c r="T25" s="12" t="s">
        <x:v>310</x:v>
      </x:c>
      <x:c r="U25" s="14" t="s">
        <x:v>317</x:v>
      </x:c>
      <x:c r="V25" s="9" t="s">
        <x:v>61</x:v>
      </x:c>
      <x:c r="W25" s="10" t="s">
        <x:v>62</x:v>
      </x:c>
      <x:c r="X25" s="10" t="s">
        <x:v>35</x:v>
      </x:c>
      <x:c r="Y25" s="10" t="s">
        <x:v>78</x:v>
      </x:c>
      <x:c r="Z25" s="10" t="s">
        <x:v>318</x:v>
      </x:c>
      <x:c r="AA25" s="18">
        <x:v>2</x:v>
      </x:c>
      <x:c r="AB25" s="10" t="s">
        <x:v>319</x:v>
      </x:c>
      <x:c r="AC25" s="12" t="s">
        <x:v>48</x:v>
      </x:c>
      <x:c r="AD25" s="16">
        <x:f t="shared" si="0"/>
        <x:v>4.94</x:v>
      </x:c>
      <x:c r="AE25" s="39" t="str">
        <x:v>1块板用1颗，备用1颗；购买数量1→2；采购数量1→2；含1块板用量及备件</x:v>
      </x:c>
    </x:row>
    <x:row r="26" ht="16.5">
      <x:c r="A26" s="9" t="s">
        <x:v>320</x:v>
      </x:c>
      <x:c r="B26" s="10" t="s">
        <x:v>205</x:v>
      </x:c>
      <x:c r="C26" s="10" t="s">
        <x:v>206</x:v>
      </x:c>
      <x:c r="D26" s="10"/>
      <x:c r="E26" s="10" t="s">
        <x:v>321</x:v>
      </x:c>
      <x:c r="F26" s="10" t="s">
        <x:v>322</x:v>
      </x:c>
      <x:c r="G26" s="10" t="s">
        <x:v>128</x:v>
      </x:c>
      <x:c r="H26" s="10" t="s">
        <x:v>323</x:v>
      </x:c>
      <x:c r="I26" s="37" t="n">
        <x:v>5</x:v>
      </x:c>
      <x:c r="J26" s="11"/>
      <x:c r="K26" s="11">
        <x:v>1</x:v>
      </x:c>
      <x:c r="L26" s="12" t="s">
        <x:v>38</x:v>
      </x:c>
      <x:c r="M26" s="13" t="s">
        <x:v>39</x:v>
      </x:c>
      <x:c r="N26" s="9" t="s">
        <x:v>324</x:v>
      </x:c>
      <x:c r="O26" s="10" t="s">
        <x:v>320</x:v>
      </x:c>
      <x:c r="P26" s="10" t="s">
        <x:v>205</x:v>
      </x:c>
      <x:c r="Q26" s="10" t="s">
        <x:v>143</x:v>
      </x:c>
      <x:c r="R26" s="10" t="s">
        <x:v>325</x:v>
      </x:c>
      <x:c r="S26" s="10" t="s">
        <x:v>91</x:v>
      </x:c>
      <x:c r="T26" s="12" t="s">
        <x:v>321</x:v>
      </x:c>
      <x:c r="U26" s="14" t="s">
        <x:v>326</x:v>
      </x:c>
      <x:c r="V26" s="9" t="s">
        <x:v>61</x:v>
      </x:c>
      <x:c r="W26" s="10" t="s">
        <x:v>62</x:v>
      </x:c>
      <x:c r="X26" s="10" t="s">
        <x:v>121</x:v>
      </x:c>
      <x:c r="Y26" s="10" t="s">
        <x:v>122</x:v>
      </x:c>
      <x:c r="Z26" s="10" t="s">
        <x:v>327</x:v>
      </x:c>
      <x:c r="AA26" s="41" t="n">
        <x:v>5</x:v>
      </x:c>
      <x:c r="AB26" s="10" t="s">
        <x:v>328</x:v>
      </x:c>
      <x:c r="AC26" s="12" t="s">
        <x:v>48</x:v>
      </x:c>
      <x:c r="AD26" s="16">
        <x:f t="shared" si="0"/>
        <x:v>1.62</x:v>
      </x:c>
      <x:c r="AE26" s="17"/>
    </x:row>
    <x:row r="27" ht="16.5">
      <x:c r="A27" s="9" t="s">
        <x:v>329</x:v>
      </x:c>
      <x:c r="B27" s="10" t="s">
        <x:v>111</x:v>
      </x:c>
      <x:c r="C27" s="10" t="s">
        <x:v>206</x:v>
      </x:c>
      <x:c r="D27" s="10"/>
      <x:c r="E27" s="10" t="s">
        <x:v>330</x:v>
      </x:c>
      <x:c r="F27" s="10" t="s">
        <x:v>331</x:v>
      </x:c>
      <x:c r="G27" s="10" t="s">
        <x:v>332</x:v>
      </x:c>
      <x:c r="H27" s="10" t="s">
        <x:v>333</x:v>
      </x:c>
      <x:c r="I27" s="37" t="n">
        <x:v>3</x:v>
      </x:c>
      <x:c r="J27" s="11"/>
      <x:c r="K27" s="11">
        <x:v>1</x:v>
      </x:c>
      <x:c r="L27" s="12" t="s">
        <x:v>38</x:v>
      </x:c>
      <x:c r="M27" s="13" t="s">
        <x:v>39</x:v>
      </x:c>
      <x:c r="N27" s="9" t="s">
        <x:v>334</x:v>
      </x:c>
      <x:c r="O27" s="10" t="s">
        <x:v>329</x:v>
      </x:c>
      <x:c r="P27" s="10" t="s">
        <x:v>111</x:v>
      </x:c>
      <x:c r="Q27" s="10" t="s">
        <x:v>143</x:v>
      </x:c>
      <x:c r="R27" s="10" t="s">
        <x:v>335</x:v>
      </x:c>
      <x:c r="S27" s="10" t="s">
        <x:v>91</x:v>
      </x:c>
      <x:c r="T27" s="12" t="s">
        <x:v>330</x:v>
      </x:c>
      <x:c r="U27" s="14" t="s">
        <x:v>336</x:v>
      </x:c>
      <x:c r="V27" s="9" t="s">
        <x:v>61</x:v>
      </x:c>
      <x:c r="W27" s="10" t="s">
        <x:v>62</x:v>
      </x:c>
      <x:c r="X27" s="10" t="s">
        <x:v>121</x:v>
      </x:c>
      <x:c r="Y27" s="10" t="s">
        <x:v>122</x:v>
      </x:c>
      <x:c r="Z27" s="10" t="s">
        <x:v>337</x:v>
      </x:c>
      <x:c r="AA27" s="41" t="n">
        <x:v>3</x:v>
      </x:c>
      <x:c r="AB27" s="10" t="s">
        <x:v>338</x:v>
      </x:c>
      <x:c r="AC27" s="12" t="s">
        <x:v>48</x:v>
      </x:c>
      <x:c r="AD27" s="16">
        <x:f t="shared" si="0"/>
        <x:v>1.58</x:v>
      </x:c>
      <x:c r="AE27" s="17"/>
    </x:row>
    <x:row r="28" ht="16.5">
      <x:c r="A28" s="9" t="s">
        <x:v>339</x:v>
      </x:c>
      <x:c r="B28" s="10" t="s">
        <x:v>205</x:v>
      </x:c>
      <x:c r="C28" s="10" t="s">
        <x:v>206</x:v>
      </x:c>
      <x:c r="D28" s="10"/>
      <x:c r="E28" s="10" t="s">
        <x:v>340</x:v>
      </x:c>
      <x:c r="F28" s="10" t="s">
        <x:v>341</x:v>
      </x:c>
      <x:c r="G28" s="10" t="s">
        <x:v>342</x:v>
      </x:c>
      <x:c r="H28" s="10" t="s">
        <x:v>343</x:v>
      </x:c>
      <x:c r="I28" s="37" t="n">
        <x:v>9</x:v>
      </x:c>
      <x:c r="J28" s="11"/>
      <x:c r="K28" s="11">
        <x:v>1</x:v>
      </x:c>
      <x:c r="L28" s="12" t="s">
        <x:v>38</x:v>
      </x:c>
      <x:c r="M28" s="13" t="s">
        <x:v>39</x:v>
      </x:c>
      <x:c r="N28" s="9" t="s">
        <x:v>344</x:v>
      </x:c>
      <x:c r="O28" s="10" t="s">
        <x:v>339</x:v>
      </x:c>
      <x:c r="P28" s="10" t="s">
        <x:v>205</x:v>
      </x:c>
      <x:c r="Q28" s="10" t="s">
        <x:v>143</x:v>
      </x:c>
      <x:c r="R28" s="10" t="s">
        <x:v>345</x:v>
      </x:c>
      <x:c r="S28" s="10" t="s">
        <x:v>91</x:v>
      </x:c>
      <x:c r="T28" s="12" t="s">
        <x:v>340</x:v>
      </x:c>
      <x:c r="U28" s="14" t="s">
        <x:v>346</x:v>
      </x:c>
      <x:c r="V28" s="9" t="s">
        <x:v>61</x:v>
      </x:c>
      <x:c r="W28" s="10" t="s">
        <x:v>62</x:v>
      </x:c>
      <x:c r="X28" s="10" t="s">
        <x:v>121</x:v>
      </x:c>
      <x:c r="Y28" s="10" t="s">
        <x:v>122</x:v>
      </x:c>
      <x:c r="Z28" s="10" t="s">
        <x:v>347</x:v>
      </x:c>
      <x:c r="AA28" s="41" t="n">
        <x:v>9</x:v>
      </x:c>
      <x:c r="AB28" s="10" t="s">
        <x:v>348</x:v>
      </x:c>
      <x:c r="AC28" s="12" t="s">
        <x:v>48</x:v>
      </x:c>
      <x:c r="AD28" s="16">
        <x:f t="shared" si="0"/>
        <x:v>2.11</x:v>
      </x:c>
      <x:c r="AE28" s="17"/>
    </x:row>
    <x:row r="29" ht="16.5">
      <x:c r="A29" s="9" t="s">
        <x:v>349</x:v>
      </x:c>
      <x:c r="B29" s="10" t="s">
        <x:v>111</x:v>
      </x:c>
      <x:c r="C29" s="10" t="s">
        <x:v>206</x:v>
      </x:c>
      <x:c r="D29" s="10"/>
      <x:c r="E29" s="10" t="s">
        <x:v>350</x:v>
      </x:c>
      <x:c r="F29" s="10" t="s">
        <x:v>351</x:v>
      </x:c>
      <x:c r="G29" s="10" t="s">
        <x:v>352</x:v>
      </x:c>
      <x:c r="H29" s="10" t="s">
        <x:v>353</x:v>
      </x:c>
      <x:c r="I29" s="37" t="n">
        <x:v>5</x:v>
      </x:c>
      <x:c r="J29" s="11"/>
      <x:c r="K29" s="11">
        <x:v>1</x:v>
      </x:c>
      <x:c r="L29" s="12" t="s">
        <x:v>38</x:v>
      </x:c>
      <x:c r="M29" s="13" t="s">
        <x:v>39</x:v>
      </x:c>
      <x:c r="N29" s="9" t="s">
        <x:v>354</x:v>
      </x:c>
      <x:c r="O29" s="10" t="s">
        <x:v>349</x:v>
      </x:c>
      <x:c r="P29" s="10" t="s">
        <x:v>111</x:v>
      </x:c>
      <x:c r="Q29" s="10" t="s">
        <x:v>143</x:v>
      </x:c>
      <x:c r="R29" s="10" t="s">
        <x:v>355</x:v>
      </x:c>
      <x:c r="S29" s="10" t="s">
        <x:v>91</x:v>
      </x:c>
      <x:c r="T29" s="12" t="s">
        <x:v>350</x:v>
      </x:c>
      <x:c r="U29" s="14" t="s">
        <x:v>356</x:v>
      </x:c>
      <x:c r="V29" s="9" t="s">
        <x:v>61</x:v>
      </x:c>
      <x:c r="W29" s="10" t="s">
        <x:v>62</x:v>
      </x:c>
      <x:c r="X29" s="10" t="s">
        <x:v>121</x:v>
      </x:c>
      <x:c r="Y29" s="10" t="s">
        <x:v>122</x:v>
      </x:c>
      <x:c r="Z29" s="10" t="s">
        <x:v>357</x:v>
      </x:c>
      <x:c r="AA29" s="41" t="n">
        <x:v>5</x:v>
      </x:c>
      <x:c r="AB29" s="10" t="s">
        <x:v>358</x:v>
      </x:c>
      <x:c r="AC29" s="12" t="s">
        <x:v>48</x:v>
      </x:c>
      <x:c r="AD29" s="16">
        <x:f t="shared" si="0"/>
        <x:v>2.01</x:v>
      </x:c>
      <x:c r="AE29" s="17"/>
    </x:row>
    <x:row r="30" ht="16.5">
      <x:c r="A30" s="9" t="s">
        <x:v>359</x:v>
      </x:c>
      <x:c r="B30" s="10" t="s">
        <x:v>111</x:v>
      </x:c>
      <x:c r="C30" s="10" t="s">
        <x:v>206</x:v>
      </x:c>
      <x:c r="D30" s="10"/>
      <x:c r="E30" s="10" t="s">
        <x:v>360</x:v>
      </x:c>
      <x:c r="F30" s="10" t="s">
        <x:v>361</x:v>
      </x:c>
      <x:c r="G30" s="10" t="s">
        <x:v>362</x:v>
      </x:c>
      <x:c r="H30" s="10" t="s">
        <x:v>363</x:v>
      </x:c>
      <x:c r="I30" s="37" t="n">
        <x:v>1</x:v>
      </x:c>
      <x:c r="J30" s="11"/>
      <x:c r="K30" s="11">
        <x:v>1</x:v>
      </x:c>
      <x:c r="L30" s="12" t="s">
        <x:v>38</x:v>
      </x:c>
      <x:c r="M30" s="13" t="s">
        <x:v>39</x:v>
      </x:c>
      <x:c r="N30" s="9" t="s">
        <x:v>364</x:v>
      </x:c>
      <x:c r="O30" s="10" t="s">
        <x:v>359</x:v>
      </x:c>
      <x:c r="P30" s="10" t="s">
        <x:v>111</x:v>
      </x:c>
      <x:c r="Q30" s="10" t="s">
        <x:v>143</x:v>
      </x:c>
      <x:c r="R30" s="10" t="s">
        <x:v>365</x:v>
      </x:c>
      <x:c r="S30" s="10" t="s">
        <x:v>91</x:v>
      </x:c>
      <x:c r="T30" s="12" t="s">
        <x:v>360</x:v>
      </x:c>
      <x:c r="U30" s="14" t="s">
        <x:v>366</x:v>
      </x:c>
      <x:c r="V30" s="9" t="s">
        <x:v>61</x:v>
      </x:c>
      <x:c r="W30" s="10" t="s">
        <x:v>62</x:v>
      </x:c>
      <x:c r="X30" s="10" t="s">
        <x:v>121</x:v>
      </x:c>
      <x:c r="Y30" s="10" t="s">
        <x:v>122</x:v>
      </x:c>
      <x:c r="Z30" s="10" t="s">
        <x:v>367</x:v>
      </x:c>
      <x:c r="AA30" s="41" t="n">
        <x:v>1</x:v>
      </x:c>
      <x:c r="AB30" s="10" t="s">
        <x:v>368</x:v>
      </x:c>
      <x:c r="AC30" s="12" t="s">
        <x:v>48</x:v>
      </x:c>
      <x:c r="AD30" s="16">
        <x:f t="shared" si="0"/>
        <x:v>1.92</x:v>
      </x:c>
      <x:c r="AE30" s="17"/>
    </x:row>
    <x:row r="31" ht="16.5">
      <x:c r="A31" s="9" t="s">
        <x:v>369</x:v>
      </x:c>
      <x:c r="B31" s="10" t="s">
        <x:v>370</x:v>
      </x:c>
      <x:c r="C31" s="10" t="s">
        <x:v>371</x:v>
      </x:c>
      <x:c r="D31" s="10"/>
      <x:c r="E31" s="10" t="s">
        <x:v>372</x:v>
      </x:c>
      <x:c r="F31" s="10" t="s">
        <x:v>373</x:v>
      </x:c>
      <x:c r="G31" s="10" t="s">
        <x:v>369</x:v>
      </x:c>
      <x:c r="H31" s="10" t="s">
        <x:v>374</x:v>
      </x:c>
      <x:c r="I31" s="37" t="n">
        <x:v>2</x:v>
      </x:c>
      <x:c r="J31" s="11">
        <x:v>7</x:v>
      </x:c>
      <x:c r="K31" s="42">
        <x:f t="shared" si="1"/>
        <x:v>7</x:v>
      </x:c>
      <x:c r="L31" s="12" t="s">
        <x:v>38</x:v>
      </x:c>
      <x:c r="M31" s="13" t="s">
        <x:v>39</x:v>
      </x:c>
      <x:c r="N31" s="9" t="s">
        <x:v>375</x:v>
      </x:c>
      <x:c r="O31" s="10" t="s">
        <x:v>369</x:v>
      </x:c>
      <x:c r="P31" s="10" t="s">
        <x:v>370</x:v>
      </x:c>
      <x:c r="Q31" s="10" t="s">
        <x:v>376</x:v>
      </x:c>
      <x:c r="R31" s="10" t="s">
        <x:v>377</x:v>
      </x:c>
      <x:c r="S31" s="10" t="s">
        <x:v>316</x:v>
      </x:c>
      <x:c r="T31" s="12" t="s">
        <x:v>372</x:v>
      </x:c>
      <x:c r="U31" s="14" t="s">
        <x:v>378</x:v>
      </x:c>
      <x:c r="V31" s="9" t="s">
        <x:v>45</x:v>
      </x:c>
      <x:c r="W31" s="10" t="s">
        <x:v>46</x:v>
      </x:c>
      <x:c r="X31" s="10" t="s">
        <x:v>35</x:v>
      </x:c>
      <x:c r="Y31" s="10" t="s">
        <x:v>78</x:v>
      </x:c>
      <x:c r="Z31" s="10" t="s">
        <x:v>48</x:v>
      </x:c>
      <x:c r="AA31" s="18">
        <x:v>2</x:v>
      </x:c>
      <x:c r="AB31" s="10" t="s">
        <x:v>379</x:v>
      </x:c>
      <x:c r="AC31" s="12" t="s">
        <x:v>48</x:v>
      </x:c>
      <x:c r="AD31" s="16">
        <x:f t="shared" si="0"/>
        <x:v>15.42</x:v>
      </x:c>
      <x:c r="AE31" s="39" t="str">
        <x:v>1块板用1颗，备用1颗；购买数量1→2；采购数量1→2；含1块板用量及备件</x:v>
      </x:c>
    </x:row>
    <x:row r="32" ht="16.5">
      <x:c r="A32" s="9" t="s">
        <x:v>380</x:v>
      </x:c>
      <x:c r="B32" s="10" t="s">
        <x:v>381</x:v>
      </x:c>
      <x:c r="C32" s="10" t="s">
        <x:v>382</x:v>
      </x:c>
      <x:c r="D32" s="10"/>
      <x:c r="E32" s="10" t="s">
        <x:v>383</x:v>
      </x:c>
      <x:c r="F32" s="10" t="s">
        <x:v>384</x:v>
      </x:c>
      <x:c r="G32" s="10" t="s">
        <x:v>385</x:v>
      </x:c>
      <x:c r="H32" s="10" t="s">
        <x:v>386</x:v>
      </x:c>
      <x:c r="I32" s="37" t="n">
        <x:v>1</x:v>
      </x:c>
      <x:c r="J32" s="11">
        <x:v>0.5</x:v>
      </x:c>
      <x:c r="K32" s="11">
        <x:f t="shared" si="1"/>
        <x:v>0.5</x:v>
      </x:c>
      <x:c r="L32" s="12" t="s">
        <x:v>38</x:v>
      </x:c>
      <x:c r="M32" s="13" t="s">
        <x:v>39</x:v>
      </x:c>
      <x:c r="N32" s="9" t="s">
        <x:v>387</x:v>
      </x:c>
      <x:c r="O32" s="10" t="s">
        <x:v>380</x:v>
      </x:c>
      <x:c r="P32" s="10" t="s">
        <x:v>381</x:v>
      </x:c>
      <x:c r="Q32" s="10" t="s">
        <x:v>388</x:v>
      </x:c>
      <x:c r="R32" s="10" t="s">
        <x:v>389</x:v>
      </x:c>
      <x:c r="S32" s="10" t="s">
        <x:v>390</x:v>
      </x:c>
      <x:c r="T32" s="12" t="s">
        <x:v>383</x:v>
      </x:c>
      <x:c r="U32" s="14" t="s">
        <x:v>391</x:v>
      </x:c>
      <x:c r="V32" s="9" t="s">
        <x:v>61</x:v>
      </x:c>
      <x:c r="W32" s="10" t="s">
        <x:v>62</x:v>
      </x:c>
      <x:c r="X32" s="10" t="s">
        <x:v>93</x:v>
      </x:c>
      <x:c r="Y32" s="10" t="s">
        <x:v>392</x:v>
      </x:c>
      <x:c r="Z32" s="10" t="s">
        <x:v>393</x:v>
      </x:c>
      <x:c r="AA32" s="41" t="n">
        <x:v>1</x:v>
      </x:c>
      <x:c r="AB32" s="10" t="s">
        <x:v>394</x:v>
      </x:c>
      <x:c r="AC32" s="12" t="s">
        <x:v>48</x:v>
      </x:c>
      <x:c r="AD32" s="16">
        <x:f t="shared" si="0"/>
        <x:v>2.72</x:v>
      </x:c>
      <x:c r="AE32" s="17"/>
    </x:row>
    <x:row r="33" ht="16.5">
      <x:c r="A33" s="9" t="s">
        <x:v>395</x:v>
      </x:c>
      <x:c r="B33" s="10" t="s">
        <x:v>396</x:v>
      </x:c>
      <x:c r="C33" s="10" t="s">
        <x:v>397</x:v>
      </x:c>
      <x:c r="D33" s="10"/>
      <x:c r="E33" s="10" t="s">
        <x:v>398</x:v>
      </x:c>
      <x:c r="F33" s="10" t="s">
        <x:v>399</x:v>
      </x:c>
      <x:c r="G33" s="10" t="s">
        <x:v>395</x:v>
      </x:c>
      <x:c r="H33" s="10" t="s">
        <x:v>400</x:v>
      </x:c>
      <x:c r="I33" s="37" t="n">
        <x:v>1</x:v>
      </x:c>
      <x:c r="J33" s="11">
        <x:v>1</x:v>
      </x:c>
      <x:c r="K33" s="11">
        <x:f t="shared" si="1"/>
        <x:v>1</x:v>
      </x:c>
      <x:c r="L33" s="12" t="s">
        <x:v>38</x:v>
      </x:c>
      <x:c r="M33" s="13" t="s">
        <x:v>39</x:v>
      </x:c>
      <x:c r="N33" s="9" t="s">
        <x:v>401</x:v>
      </x:c>
      <x:c r="O33" s="10" t="s">
        <x:v>395</x:v>
      </x:c>
      <x:c r="P33" s="10" t="s">
        <x:v>396</x:v>
      </x:c>
      <x:c r="Q33" s="10" t="s">
        <x:v>402</x:v>
      </x:c>
      <x:c r="R33" s="10" t="s">
        <x:v>403</x:v>
      </x:c>
      <x:c r="S33" s="10" t="s">
        <x:v>390</x:v>
      </x:c>
      <x:c r="T33" s="12" t="s">
        <x:v>398</x:v>
      </x:c>
      <x:c r="U33" s="14" t="s">
        <x:v>404</x:v>
      </x:c>
      <x:c r="V33" s="9" t="s">
        <x:v>61</x:v>
      </x:c>
      <x:c r="W33" s="10" t="s">
        <x:v>62</x:v>
      </x:c>
      <x:c r="X33" s="10" t="s">
        <x:v>63</x:v>
      </x:c>
      <x:c r="Y33" s="10" t="s">
        <x:v>64</x:v>
      </x:c>
      <x:c r="Z33" s="10" t="s">
        <x:v>405</x:v>
      </x:c>
      <x:c r="AA33" s="41" t="n">
        <x:v>1</x:v>
      </x:c>
      <x:c r="AB33" s="10" t="s">
        <x:v>406</x:v>
      </x:c>
      <x:c r="AC33" s="12" t="s">
        <x:v>48</x:v>
      </x:c>
      <x:c r="AD33" s="16">
        <x:f t="shared" si="0"/>
        <x:v>9.18</x:v>
      </x:c>
      <x:c r="AE33" s="17"/>
    </x:row>
    <x:row r="34" ht="16.5">
      <x:c r="A34" s="9" t="s">
        <x:v>407</x:v>
      </x:c>
      <x:c r="B34" s="10" t="s">
        <x:v>111</x:v>
      </x:c>
      <x:c r="C34" s="10" t="s">
        <x:v>206</x:v>
      </x:c>
      <x:c r="D34" s="10"/>
      <x:c r="E34" s="10" t="s">
        <x:v>408</x:v>
      </x:c>
      <x:c r="F34" s="10" t="s">
        <x:v>409</x:v>
      </x:c>
      <x:c r="G34" s="10" t="s">
        <x:v>410</x:v>
      </x:c>
      <x:c r="H34" s="10" t="s">
        <x:v>411</x:v>
      </x:c>
      <x:c r="I34" s="37" t="n">
        <x:v>1</x:v>
      </x:c>
      <x:c r="J34" s="11"/>
      <x:c r="K34" s="11">
        <x:v>1</x:v>
      </x:c>
      <x:c r="L34" s="12" t="s">
        <x:v>38</x:v>
      </x:c>
      <x:c r="M34" s="13" t="s">
        <x:v>39</x:v>
      </x:c>
      <x:c r="N34" s="9" t="s">
        <x:v>412</x:v>
      </x:c>
      <x:c r="O34" s="10" t="s">
        <x:v>407</x:v>
      </x:c>
      <x:c r="P34" s="10" t="s">
        <x:v>111</x:v>
      </x:c>
      <x:c r="Q34" s="10" t="s">
        <x:v>143</x:v>
      </x:c>
      <x:c r="R34" s="10" t="s">
        <x:v>413</x:v>
      </x:c>
      <x:c r="S34" s="10" t="s">
        <x:v>91</x:v>
      </x:c>
      <x:c r="T34" s="12" t="s">
        <x:v>408</x:v>
      </x:c>
      <x:c r="U34" s="14" t="s">
        <x:v>414</x:v>
      </x:c>
      <x:c r="V34" s="9" t="s">
        <x:v>61</x:v>
      </x:c>
      <x:c r="W34" s="10" t="s">
        <x:v>62</x:v>
      </x:c>
      <x:c r="X34" s="10" t="s">
        <x:v>121</x:v>
      </x:c>
      <x:c r="Y34" s="10" t="s">
        <x:v>122</x:v>
      </x:c>
      <x:c r="Z34" s="10" t="s">
        <x:v>415</x:v>
      </x:c>
      <x:c r="AA34" s="41" t="n">
        <x:v>1</x:v>
      </x:c>
      <x:c r="AB34" s="10" t="s">
        <x:v>416</x:v>
      </x:c>
      <x:c r="AC34" s="12" t="s">
        <x:v>48</x:v>
      </x:c>
      <x:c r="AD34" s="16">
        <x:f t="shared" si="0"/>
        <x:v>2.02</x:v>
      </x:c>
      <x:c r="AE34" s="17"/>
    </x:row>
    <x:row r="35" ht="16.5">
      <x:c r="A35" s="9" t="s">
        <x:v>417</x:v>
      </x:c>
      <x:c r="B35" s="10" t="s">
        <x:v>205</x:v>
      </x:c>
      <x:c r="C35" s="10" t="s">
        <x:v>206</x:v>
      </x:c>
      <x:c r="D35" s="10"/>
      <x:c r="E35" s="10" t="s">
        <x:v>418</x:v>
      </x:c>
      <x:c r="F35" s="10" t="s">
        <x:v>419</x:v>
      </x:c>
      <x:c r="G35" s="10" t="s">
        <x:v>420</x:v>
      </x:c>
      <x:c r="H35" s="10" t="s">
        <x:v>421</x:v>
      </x:c>
      <x:c r="I35" s="37" t="n">
        <x:v>2</x:v>
      </x:c>
      <x:c r="J35" s="11"/>
      <x:c r="K35" s="11">
        <x:v>1</x:v>
      </x:c>
      <x:c r="L35" s="12" t="s">
        <x:v>38</x:v>
      </x:c>
      <x:c r="M35" s="13" t="s">
        <x:v>39</x:v>
      </x:c>
      <x:c r="N35" s="9" t="s">
        <x:v>422</x:v>
      </x:c>
      <x:c r="O35" s="10" t="s">
        <x:v>417</x:v>
      </x:c>
      <x:c r="P35" s="10" t="s">
        <x:v>205</x:v>
      </x:c>
      <x:c r="Q35" s="10" t="s">
        <x:v>143</x:v>
      </x:c>
      <x:c r="R35" s="10" t="s">
        <x:v>423</x:v>
      </x:c>
      <x:c r="S35" s="10" t="s">
        <x:v>91</x:v>
      </x:c>
      <x:c r="T35" s="12" t="s">
        <x:v>418</x:v>
      </x:c>
      <x:c r="U35" s="14" t="s">
        <x:v>424</x:v>
      </x:c>
      <x:c r="V35" s="9" t="s">
        <x:v>61</x:v>
      </x:c>
      <x:c r="W35" s="10" t="s">
        <x:v>62</x:v>
      </x:c>
      <x:c r="X35" s="10" t="s">
        <x:v>121</x:v>
      </x:c>
      <x:c r="Y35" s="10" t="s">
        <x:v>122</x:v>
      </x:c>
      <x:c r="Z35" s="10" t="s">
        <x:v>425</x:v>
      </x:c>
      <x:c r="AA35" s="41" t="n">
        <x:v>2</x:v>
      </x:c>
      <x:c r="AB35" s="10" t="s">
        <x:v>426</x:v>
      </x:c>
      <x:c r="AC35" s="12" t="s">
        <x:v>48</x:v>
      </x:c>
      <x:c r="AD35" s="16">
        <x:f t="shared" si="0"/>
        <x:v>1.57</x:v>
      </x:c>
      <x:c r="AE35" s="17"/>
    </x:row>
    <x:row r="36" ht="16.5">
      <x:c r="A36" s="9" t="s">
        <x:v>427</x:v>
      </x:c>
      <x:c r="B36" s="10" t="s">
        <x:v>428</x:v>
      </x:c>
      <x:c r="C36" s="10" t="s">
        <x:v>429</x:v>
      </x:c>
      <x:c r="D36" s="10"/>
      <x:c r="E36" s="10" t="s">
        <x:v>430</x:v>
      </x:c>
      <x:c r="F36" s="10" t="s">
        <x:v>431</x:v>
      </x:c>
      <x:c r="G36" s="10" t="s">
        <x:v>54</x:v>
      </x:c>
      <x:c r="H36" s="10" t="s">
        <x:v>432</x:v>
      </x:c>
      <x:c r="I36" s="37" t="n">
        <x:v>15</x:v>
      </x:c>
      <x:c r="J36" s="11">
        <x:v>0.6</x:v>
      </x:c>
      <x:c r="K36" s="42" t="n">
        <x:f>J36*I36</x:f>
        <x:v>9</x:v>
      </x:c>
      <x:c r="L36" s="12" t="s">
        <x:v>38</x:v>
      </x:c>
      <x:c r="M36" s="13" t="s">
        <x:v>39</x:v>
      </x:c>
      <x:c r="N36" s="9" t="s">
        <x:v>433</x:v>
      </x:c>
      <x:c r="O36" s="10" t="s">
        <x:v>427</x:v>
      </x:c>
      <x:c r="P36" s="10" t="s">
        <x:v>428</x:v>
      </x:c>
      <x:c r="Q36" s="10" t="s">
        <x:v>118</x:v>
      </x:c>
      <x:c r="R36" s="10" t="s">
        <x:v>434</x:v>
      </x:c>
      <x:c r="S36" s="10" t="s">
        <x:v>59</x:v>
      </x:c>
      <x:c r="T36" s="12" t="s">
        <x:v>430</x:v>
      </x:c>
      <x:c r="U36" s="14" t="s">
        <x:v>435</x:v>
      </x:c>
      <x:c r="V36" s="9" t="s">
        <x:v>61</x:v>
      </x:c>
      <x:c r="W36" s="10" t="s">
        <x:v>62</x:v>
      </x:c>
      <x:c r="X36" s="10" t="s">
        <x:v>63</x:v>
      </x:c>
      <x:c r="Y36" s="10" t="s">
        <x:v>78</x:v>
      </x:c>
      <x:c r="Z36" s="10" t="s">
        <x:v>436</x:v>
      </x:c>
      <x:c r="AA36" s="18">
        <x:v>15</x:v>
      </x:c>
      <x:c r="AB36" s="10" t="s">
        <x:v>437</x:v>
      </x:c>
      <x:c r="AC36" s="12" t="s">
        <x:v>48</x:v>
      </x:c>
      <x:c r="AD36" s="16">
        <x:f t="shared" si="0"/>
        <x:v>11.47</x:v>
      </x:c>
      <x:c r="AE36" s="39" t="str">
        <x:v>1块板用9颗，备用6颗；购买数量10→15；采购数量9→15；含1块板用量及备件</x:v>
      </x:c>
    </x:row>
    <x:row r="37" ht="33">
      <x:c r="A37" s="9" t="s">
        <x:v>438</x:v>
      </x:c>
      <x:c r="B37" s="10" t="s">
        <x:v>428</x:v>
      </x:c>
      <x:c r="C37" s="10" t="s">
        <x:v>137</x:v>
      </x:c>
      <x:c r="D37" s="10"/>
      <x:c r="E37" s="10" t="s">
        <x:v>439</x:v>
      </x:c>
      <x:c r="F37" s="10" t="s">
        <x:v>440</x:v>
      </x:c>
      <x:c r="G37" s="10" t="s">
        <x:v>441</x:v>
      </x:c>
      <x:c r="H37" s="10" t="s">
        <x:v>442</x:v>
      </x:c>
      <x:c r="I37" s="37" t="n">
        <x:v>20</x:v>
      </x:c>
      <x:c r="J37" s="11">
        <x:v>0.1</x:v>
      </x:c>
      <x:c r="K37" s="42" t="n">
        <x:f>J37*I37</x:f>
        <x:v>2</x:v>
      </x:c>
      <x:c r="L37" s="12" t="s">
        <x:v>38</x:v>
      </x:c>
      <x:c r="M37" s="19" t="s">
        <x:v>443</x:v>
      </x:c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1">
        <x:v>20</x:v>
      </x:c>
      <x:c r="AB37" s="22"/>
      <x:c r="AC37" s="22"/>
      <x:c r="AD37" s="23"/>
      <x:c r="AE37" s="44" t="str">
        <x:v>1块板用8颗，备用12颗，购买20颗；原表无法匹配，需按原型号重新配单；价格待确认；采购数量8→20；含1块板用量及备件</x:v>
      </x:c>
    </x:row>
    <x:row r="38" ht="16.5">
      <x:c r="A38" s="9" t="s">
        <x:v>444</x:v>
      </x:c>
      <x:c r="B38" s="10" t="s">
        <x:v>445</x:v>
      </x:c>
      <x:c r="C38" s="10" t="s">
        <x:v>446</x:v>
      </x:c>
      <x:c r="D38" s="10"/>
      <x:c r="E38" s="10" t="s">
        <x:v>447</x:v>
      </x:c>
      <x:c r="F38" s="10" t="s">
        <x:v>448</x:v>
      </x:c>
      <x:c r="G38" s="10" t="s">
        <x:v>444</x:v>
      </x:c>
      <x:c r="H38" s="10" t="s">
        <x:v>449</x:v>
      </x:c>
      <x:c r="I38" s="37" t="n">
        <x:v>2</x:v>
      </x:c>
      <x:c r="J38" s="11">
        <x:v>12</x:v>
      </x:c>
      <x:c r="K38" s="42" t="n">
        <x:f>J38*I38</x:f>
        <x:v>24</x:v>
      </x:c>
      <x:c r="L38" s="12" t="s">
        <x:v>38</x:v>
      </x:c>
      <x:c r="M38" s="13" t="s">
        <x:v>39</x:v>
      </x:c>
      <x:c r="N38" s="9" t="s">
        <x:v>450</x:v>
      </x:c>
      <x:c r="O38" s="10" t="s">
        <x:v>444</x:v>
      </x:c>
      <x:c r="P38" s="10" t="s">
        <x:v>445</x:v>
      </x:c>
      <x:c r="Q38" s="10" t="s">
        <x:v>451</x:v>
      </x:c>
      <x:c r="R38" s="10" t="s">
        <x:v>452</x:v>
      </x:c>
      <x:c r="S38" s="10" t="s">
        <x:v>316</x:v>
      </x:c>
      <x:c r="T38" s="12" t="s">
        <x:v>447</x:v>
      </x:c>
      <x:c r="U38" s="14" t="s">
        <x:v>453</x:v>
      </x:c>
      <x:c r="V38" s="9" t="s">
        <x:v>61</x:v>
      </x:c>
      <x:c r="W38" s="10" t="s">
        <x:v>62</x:v>
      </x:c>
      <x:c r="X38" s="10" t="s">
        <x:v>35</x:v>
      </x:c>
      <x:c r="Y38" s="10" t="s">
        <x:v>454</x:v>
      </x:c>
      <x:c r="Z38" s="10" t="s">
        <x:v>455</x:v>
      </x:c>
      <x:c r="AA38" s="18">
        <x:v>2</x:v>
      </x:c>
      <x:c r="AB38" s="10" t="s">
        <x:v>456</x:v>
      </x:c>
      <x:c r="AC38" s="12" t="s">
        <x:v>48</x:v>
      </x:c>
      <x:c r="AD38" s="16" t="n">
        <x:f t="shared" ref="AD38:AD69" si="2">ROUND(AA38*AB38,2)</x:f>
        <x:v>24.32</x:v>
      </x:c>
      <x:c r="AE38" s="39" t="str">
        <x:v>1块板用1颗，备用1颗；购买数量1→2；采购数量1→2；含1块板用量及备件</x:v>
      </x:c>
    </x:row>
    <x:row r="39" ht="16.5">
      <x:c r="A39" s="9" t="s">
        <x:v>457</x:v>
      </x:c>
      <x:c r="B39" s="10" t="s">
        <x:v>287</x:v>
      </x:c>
      <x:c r="C39" s="10" t="s">
        <x:v>137</x:v>
      </x:c>
      <x:c r="D39" s="10"/>
      <x:c r="E39" s="10" t="s">
        <x:v>458</x:v>
      </x:c>
      <x:c r="F39" s="10" t="s">
        <x:v>459</x:v>
      </x:c>
      <x:c r="G39" s="10" t="s">
        <x:v>140</x:v>
      </x:c>
      <x:c r="H39" s="10" t="s">
        <x:v>460</x:v>
      </x:c>
      <x:c r="I39" s="37" t="n">
        <x:v>2</x:v>
      </x:c>
      <x:c r="J39" s="11"/>
      <x:c r="K39" s="11">
        <x:v>1</x:v>
      </x:c>
      <x:c r="L39" s="12" t="s">
        <x:v>38</x:v>
      </x:c>
      <x:c r="M39" s="13" t="s">
        <x:v>39</x:v>
      </x:c>
      <x:c r="N39" s="9" t="s">
        <x:v>461</x:v>
      </x:c>
      <x:c r="O39" s="10" t="s">
        <x:v>457</x:v>
      </x:c>
      <x:c r="P39" s="10" t="s">
        <x:v>287</x:v>
      </x:c>
      <x:c r="Q39" s="10" t="s">
        <x:v>143</x:v>
      </x:c>
      <x:c r="R39" s="10" t="s">
        <x:v>462</x:v>
      </x:c>
      <x:c r="S39" s="10" t="s">
        <x:v>59</x:v>
      </x:c>
      <x:c r="T39" s="12" t="s">
        <x:v>458</x:v>
      </x:c>
      <x:c r="U39" s="14" t="s">
        <x:v>463</x:v>
      </x:c>
      <x:c r="V39" s="9" t="s">
        <x:v>61</x:v>
      </x:c>
      <x:c r="W39" s="10" t="s">
        <x:v>62</x:v>
      </x:c>
      <x:c r="X39" s="10" t="s">
        <x:v>146</x:v>
      </x:c>
      <x:c r="Y39" s="10" t="s">
        <x:v>94</x:v>
      </x:c>
      <x:c r="Z39" s="10" t="s">
        <x:v>464</x:v>
      </x:c>
      <x:c r="AA39" s="41" t="n">
        <x:v>2</x:v>
      </x:c>
      <x:c r="AB39" s="10" t="s">
        <x:v>465</x:v>
      </x:c>
      <x:c r="AC39" s="12" t="s">
        <x:v>48</x:v>
      </x:c>
      <x:c r="AD39" s="16">
        <x:f t="shared" si="2"/>
        <x:v>4.06</x:v>
      </x:c>
      <x:c r="AE39" s="17"/>
    </x:row>
    <x:row r="40" ht="16.5">
      <x:c r="A40" s="9" t="s">
        <x:v>466</x:v>
      </x:c>
      <x:c r="B40" s="10" t="s">
        <x:v>445</x:v>
      </x:c>
      <x:c r="C40" s="10" t="s">
        <x:v>467</x:v>
      </x:c>
      <x:c r="D40" s="10"/>
      <x:c r="E40" s="10" t="s">
        <x:v>468</x:v>
      </x:c>
      <x:c r="F40" s="10" t="s">
        <x:v>469</x:v>
      </x:c>
      <x:c r="G40" s="10" t="s">
        <x:v>466</x:v>
      </x:c>
      <x:c r="H40" s="10" t="s">
        <x:v>470</x:v>
      </x:c>
      <x:c r="I40" s="37" t="n">
        <x:v>2</x:v>
      </x:c>
      <x:c r="J40" s="11">
        <x:v>4</x:v>
      </x:c>
      <x:c r="K40" s="42" t="n">
        <x:f>J40*I40</x:f>
        <x:v>8</x:v>
      </x:c>
      <x:c r="L40" s="12" t="s">
        <x:v>38</x:v>
      </x:c>
      <x:c r="M40" s="13" t="s">
        <x:v>39</x:v>
      </x:c>
      <x:c r="N40" s="9" t="s">
        <x:v>471</x:v>
      </x:c>
      <x:c r="O40" s="10" t="s">
        <x:v>466</x:v>
      </x:c>
      <x:c r="P40" s="10" t="s">
        <x:v>445</x:v>
      </x:c>
      <x:c r="Q40" s="10" t="s">
        <x:v>472</x:v>
      </x:c>
      <x:c r="R40" s="10" t="s">
        <x:v>473</x:v>
      </x:c>
      <x:c r="S40" s="10" t="s">
        <x:v>316</x:v>
      </x:c>
      <x:c r="T40" s="12" t="s">
        <x:v>468</x:v>
      </x:c>
      <x:c r="U40" s="14" t="s">
        <x:v>474</x:v>
      </x:c>
      <x:c r="V40" s="9" t="s">
        <x:v>61</x:v>
      </x:c>
      <x:c r="W40" s="10" t="s">
        <x:v>62</x:v>
      </x:c>
      <x:c r="X40" s="10" t="s">
        <x:v>35</x:v>
      </x:c>
      <x:c r="Y40" s="10" t="s">
        <x:v>78</x:v>
      </x:c>
      <x:c r="Z40" s="10" t="s">
        <x:v>475</x:v>
      </x:c>
      <x:c r="AA40" s="18">
        <x:v>2</x:v>
      </x:c>
      <x:c r="AB40" s="10" t="s">
        <x:v>476</x:v>
      </x:c>
      <x:c r="AC40" s="12" t="s">
        <x:v>48</x:v>
      </x:c>
      <x:c r="AD40" s="16">
        <x:f t="shared" si="2"/>
        <x:v>8.76</x:v>
      </x:c>
      <x:c r="AE40" s="39" t="str">
        <x:v>1块板用1颗，备用1颗；购买数量1→2；采购数量1→2；含1块板用量及备件</x:v>
      </x:c>
    </x:row>
    <x:row r="41" ht="16.5">
      <x:c r="A41" s="9" t="s">
        <x:v>477</x:v>
      </x:c>
      <x:c r="B41" s="10" t="s">
        <x:v>478</x:v>
      </x:c>
      <x:c r="C41" s="10" t="s">
        <x:v>479</x:v>
      </x:c>
      <x:c r="D41" s="10"/>
      <x:c r="E41" s="10" t="s">
        <x:v>480</x:v>
      </x:c>
      <x:c r="F41" s="10" t="s">
        <x:v>481</x:v>
      </x:c>
      <x:c r="G41" s="10" t="s">
        <x:v>477</x:v>
      </x:c>
      <x:c r="H41" s="10" t="s">
        <x:v>482</x:v>
      </x:c>
      <x:c r="I41" s="37" t="n">
        <x:v>2</x:v>
      </x:c>
      <x:c r="J41" s="11">
        <x:v>0.2</x:v>
      </x:c>
      <x:c r="K41" s="11" t="n">
        <x:f>J41*I41</x:f>
        <x:v>0.4</x:v>
      </x:c>
      <x:c r="L41" s="12" t="s">
        <x:v>38</x:v>
      </x:c>
      <x:c r="M41" s="13" t="s">
        <x:v>39</x:v>
      </x:c>
      <x:c r="N41" s="9" t="s">
        <x:v>483</x:v>
      </x:c>
      <x:c r="O41" s="10" t="s">
        <x:v>477</x:v>
      </x:c>
      <x:c r="P41" s="10" t="s">
        <x:v>478</x:v>
      </x:c>
      <x:c r="Q41" s="10" t="s">
        <x:v>484</x:v>
      </x:c>
      <x:c r="R41" s="10" t="s">
        <x:v>485</x:v>
      </x:c>
      <x:c r="S41" s="10" t="s">
        <x:v>486</x:v>
      </x:c>
      <x:c r="T41" s="12" t="s">
        <x:v>480</x:v>
      </x:c>
      <x:c r="U41" s="14" t="s">
        <x:v>487</x:v>
      </x:c>
      <x:c r="V41" s="9" t="s">
        <x:v>61</x:v>
      </x:c>
      <x:c r="W41" s="10" t="s">
        <x:v>62</x:v>
      </x:c>
      <x:c r="X41" s="10" t="s">
        <x:v>188</x:v>
      </x:c>
      <x:c r="Y41" s="10" t="s">
        <x:v>64</x:v>
      </x:c>
      <x:c r="Z41" s="10" t="s">
        <x:v>488</x:v>
      </x:c>
      <x:c r="AA41" s="41" t="n">
        <x:v>2</x:v>
      </x:c>
      <x:c r="AB41" s="10" t="s">
        <x:v>489</x:v>
      </x:c>
      <x:c r="AC41" s="12" t="s">
        <x:v>48</x:v>
      </x:c>
      <x:c r="AD41" s="16">
        <x:f t="shared" si="2"/>
        <x:v>4.74</x:v>
      </x:c>
      <x:c r="AE41" s="17"/>
    </x:row>
    <x:row r="42" ht="16.5">
      <x:c r="A42" s="9" t="s">
        <x:v>490</x:v>
      </x:c>
      <x:c r="B42" s="10" t="s">
        <x:v>230</x:v>
      </x:c>
      <x:c r="C42" s="10" t="s">
        <x:v>491</x:v>
      </x:c>
      <x:c r="D42" s="10"/>
      <x:c r="E42" s="10" t="s">
        <x:v>492</x:v>
      </x:c>
      <x:c r="F42" s="10" t="s">
        <x:v>493</x:v>
      </x:c>
      <x:c r="G42" s="10" t="s">
        <x:v>490</x:v>
      </x:c>
      <x:c r="H42" s="10" t="s">
        <x:v>494</x:v>
      </x:c>
      <x:c r="I42" s="37" t="n">
        <x:v>1</x:v>
      </x:c>
      <x:c r="J42" s="11">
        <x:v>0.1</x:v>
      </x:c>
      <x:c r="K42" s="11" t="n">
        <x:f>J42*I42</x:f>
        <x:v>0.1</x:v>
      </x:c>
      <x:c r="L42" s="12" t="s">
        <x:v>38</x:v>
      </x:c>
      <x:c r="M42" s="13" t="s">
        <x:v>39</x:v>
      </x:c>
      <x:c r="N42" s="9" t="s">
        <x:v>235</x:v>
      </x:c>
      <x:c r="O42" s="10" t="s">
        <x:v>490</x:v>
      </x:c>
      <x:c r="P42" s="10" t="s">
        <x:v>230</x:v>
      </x:c>
      <x:c r="Q42" s="10" t="s">
        <x:v>143</x:v>
      </x:c>
      <x:c r="R42" s="10" t="s">
        <x:v>495</x:v>
      </x:c>
      <x:c r="S42" s="10" t="s">
        <x:v>237</x:v>
      </x:c>
      <x:c r="T42" s="12" t="s">
        <x:v>492</x:v>
      </x:c>
      <x:c r="U42" s="14" t="s">
        <x:v>496</x:v>
      </x:c>
      <x:c r="V42" s="9" t="s">
        <x:v>61</x:v>
      </x:c>
      <x:c r="W42" s="10" t="s">
        <x:v>62</x:v>
      </x:c>
      <x:c r="X42" s="10" t="s">
        <x:v>146</x:v>
      </x:c>
      <x:c r="Y42" s="10" t="s">
        <x:v>94</x:v>
      </x:c>
      <x:c r="Z42" s="10" t="s">
        <x:v>497</x:v>
      </x:c>
      <x:c r="AA42" s="41" t="n">
        <x:v>1</x:v>
      </x:c>
      <x:c r="AB42" s="10" t="s">
        <x:v>498</x:v>
      </x:c>
      <x:c r="AC42" s="12" t="s">
        <x:v>48</x:v>
      </x:c>
      <x:c r="AD42" s="16">
        <x:f t="shared" si="2"/>
        <x:v>4.88</x:v>
      </x:c>
      <x:c r="AE42" s="17"/>
    </x:row>
    <x:row r="43" ht="16.5">
      <x:c r="A43" s="9" t="s">
        <x:v>499</x:v>
      </x:c>
      <x:c r="B43" s="10" t="s">
        <x:v>500</x:v>
      </x:c>
      <x:c r="C43" s="10" t="s">
        <x:v>501</x:v>
      </x:c>
      <x:c r="D43" s="10"/>
      <x:c r="E43" s="10" t="s">
        <x:v>502</x:v>
      </x:c>
      <x:c r="F43" s="10" t="s">
        <x:v>503</x:v>
      </x:c>
      <x:c r="G43" s="10" t="s">
        <x:v>499</x:v>
      </x:c>
      <x:c r="H43" s="10" t="s">
        <x:v>504</x:v>
      </x:c>
      <x:c r="I43" s="37" t="n">
        <x:v>1</x:v>
      </x:c>
      <x:c r="J43" s="11">
        <x:v>0.35</x:v>
      </x:c>
      <x:c r="K43" s="11" t="n">
        <x:f>J43*I43</x:f>
        <x:v>0.35</x:v>
      </x:c>
      <x:c r="L43" s="12" t="s">
        <x:v>38</x:v>
      </x:c>
      <x:c r="M43" s="13" t="s">
        <x:v>39</x:v>
      </x:c>
      <x:c r="N43" s="9" t="s">
        <x:v>505</x:v>
      </x:c>
      <x:c r="O43" s="10" t="s">
        <x:v>499</x:v>
      </x:c>
      <x:c r="P43" s="10" t="s">
        <x:v>500</x:v>
      </x:c>
      <x:c r="Q43" s="10" t="s">
        <x:v>506</x:v>
      </x:c>
      <x:c r="R43" s="10" t="s">
        <x:v>507</x:v>
      </x:c>
      <x:c r="S43" s="10" t="s">
        <x:v>508</x:v>
      </x:c>
      <x:c r="T43" s="12" t="s">
        <x:v>502</x:v>
      </x:c>
      <x:c r="U43" s="14" t="s">
        <x:v>509</x:v>
      </x:c>
      <x:c r="V43" s="9" t="s">
        <x:v>61</x:v>
      </x:c>
      <x:c r="W43" s="10" t="s">
        <x:v>62</x:v>
      </x:c>
      <x:c r="X43" s="10" t="s">
        <x:v>63</x:v>
      </x:c>
      <x:c r="Y43" s="10" t="s">
        <x:v>64</x:v>
      </x:c>
      <x:c r="Z43" s="10" t="s">
        <x:v>510</x:v>
      </x:c>
      <x:c r="AA43" s="41" t="n">
        <x:v>1</x:v>
      </x:c>
      <x:c r="AB43" s="10" t="s">
        <x:v>511</x:v>
      </x:c>
      <x:c r="AC43" s="12" t="s">
        <x:v>48</x:v>
      </x:c>
      <x:c r="AD43" s="16">
        <x:f t="shared" si="2"/>
        <x:v>5.13</x:v>
      </x:c>
      <x:c r="AE43" s="17"/>
    </x:row>
    <x:row r="44" ht="16.5">
      <x:c r="A44" s="9" t="s">
        <x:v>512</x:v>
      </x:c>
      <x:c r="B44" s="10" t="s">
        <x:v>205</x:v>
      </x:c>
      <x:c r="C44" s="10" t="s">
        <x:v>206</x:v>
      </x:c>
      <x:c r="D44" s="10"/>
      <x:c r="E44" s="10" t="s">
        <x:v>513</x:v>
      </x:c>
      <x:c r="F44" s="10" t="s">
        <x:v>514</x:v>
      </x:c>
      <x:c r="G44" s="10" t="s">
        <x:v>515</x:v>
      </x:c>
      <x:c r="H44" s="10" t="s">
        <x:v>516</x:v>
      </x:c>
      <x:c r="I44" s="37" t="n">
        <x:v>9</x:v>
      </x:c>
      <x:c r="J44" s="11"/>
      <x:c r="K44" s="11">
        <x:v>1</x:v>
      </x:c>
      <x:c r="L44" s="12" t="s">
        <x:v>38</x:v>
      </x:c>
      <x:c r="M44" s="13" t="s">
        <x:v>39</x:v>
      </x:c>
      <x:c r="N44" s="9" t="s">
        <x:v>517</x:v>
      </x:c>
      <x:c r="O44" s="10" t="s">
        <x:v>512</x:v>
      </x:c>
      <x:c r="P44" s="10" t="s">
        <x:v>205</x:v>
      </x:c>
      <x:c r="Q44" s="10" t="s">
        <x:v>143</x:v>
      </x:c>
      <x:c r="R44" s="10" t="s">
        <x:v>518</x:v>
      </x:c>
      <x:c r="S44" s="10" t="s">
        <x:v>91</x:v>
      </x:c>
      <x:c r="T44" s="12" t="s">
        <x:v>513</x:v>
      </x:c>
      <x:c r="U44" s="14" t="s">
        <x:v>519</x:v>
      </x:c>
      <x:c r="V44" s="9" t="s">
        <x:v>61</x:v>
      </x:c>
      <x:c r="W44" s="10" t="s">
        <x:v>62</x:v>
      </x:c>
      <x:c r="X44" s="10" t="s">
        <x:v>121</x:v>
      </x:c>
      <x:c r="Y44" s="10" t="s">
        <x:v>122</x:v>
      </x:c>
      <x:c r="Z44" s="10" t="s">
        <x:v>520</x:v>
      </x:c>
      <x:c r="AA44" s="41" t="n">
        <x:v>9</x:v>
      </x:c>
      <x:c r="AB44" s="10" t="s">
        <x:v>521</x:v>
      </x:c>
      <x:c r="AC44" s="12" t="s">
        <x:v>48</x:v>
      </x:c>
      <x:c r="AD44" s="16">
        <x:f t="shared" si="2"/>
        <x:v>1.49</x:v>
      </x:c>
      <x:c r="AE44" s="17"/>
    </x:row>
    <x:row r="45" ht="16.5">
      <x:c r="A45" s="9" t="s">
        <x:v>522</x:v>
      </x:c>
      <x:c r="B45" s="10" t="s">
        <x:v>179</x:v>
      </x:c>
      <x:c r="C45" s="10" t="s">
        <x:v>523</x:v>
      </x:c>
      <x:c r="D45" s="10"/>
      <x:c r="E45" s="10" t="s">
        <x:v>524</x:v>
      </x:c>
      <x:c r="F45" s="10" t="s">
        <x:v>525</x:v>
      </x:c>
      <x:c r="G45" s="10" t="s">
        <x:v>522</x:v>
      </x:c>
      <x:c r="H45" s="10" t="s">
        <x:v>526</x:v>
      </x:c>
      <x:c r="I45" s="37" t="n">
        <x:v>5</x:v>
      </x:c>
      <x:c r="J45" s="11">
        <x:v>0.3</x:v>
      </x:c>
      <x:c r="K45" s="11" t="n">
        <x:f>J45*I45</x:f>
        <x:v>1.5</x:v>
      </x:c>
      <x:c r="L45" s="12" t="s">
        <x:v>38</x:v>
      </x:c>
      <x:c r="M45" s="13" t="s">
        <x:v>39</x:v>
      </x:c>
      <x:c r="N45" s="9" t="s">
        <x:v>527</x:v>
      </x:c>
      <x:c r="O45" s="10" t="s">
        <x:v>522</x:v>
      </x:c>
      <x:c r="P45" s="10" t="s">
        <x:v>179</x:v>
      </x:c>
      <x:c r="Q45" s="10" t="s">
        <x:v>528</x:v>
      </x:c>
      <x:c r="R45" s="10" t="s">
        <x:v>529</x:v>
      </x:c>
      <x:c r="S45" s="10" t="s">
        <x:v>76</x:v>
      </x:c>
      <x:c r="T45" s="12" t="s">
        <x:v>524</x:v>
      </x:c>
      <x:c r="U45" s="14" t="s">
        <x:v>530</x:v>
      </x:c>
      <x:c r="V45" s="9" t="s">
        <x:v>61</x:v>
      </x:c>
      <x:c r="W45" s="10" t="s">
        <x:v>62</x:v>
      </x:c>
      <x:c r="X45" s="10" t="s">
        <x:v>188</x:v>
      </x:c>
      <x:c r="Y45" s="10" t="s">
        <x:v>531</x:v>
      </x:c>
      <x:c r="Z45" s="10" t="s">
        <x:v>532</x:v>
      </x:c>
      <x:c r="AA45" s="41" t="n">
        <x:v>5</x:v>
      </x:c>
      <x:c r="AB45" s="10" t="s">
        <x:v>533</x:v>
      </x:c>
      <x:c r="AC45" s="12" t="s">
        <x:v>48</x:v>
      </x:c>
      <x:c r="AD45" s="16">
        <x:f t="shared" si="2"/>
        <x:v>5.6</x:v>
      </x:c>
      <x:c r="AE45" s="17"/>
    </x:row>
    <x:row r="46" ht="16.5">
      <x:c r="A46" s="9" t="s">
        <x:v>534</x:v>
      </x:c>
      <x:c r="B46" s="10" t="s">
        <x:v>535</x:v>
      </x:c>
      <x:c r="C46" s="10" t="s">
        <x:v>536</x:v>
      </x:c>
      <x:c r="D46" s="10"/>
      <x:c r="E46" s="10" t="s">
        <x:v>537</x:v>
      </x:c>
      <x:c r="F46" s="10" t="s">
        <x:v>538</x:v>
      </x:c>
      <x:c r="G46" s="10" t="s">
        <x:v>534</x:v>
      </x:c>
      <x:c r="H46" s="10" t="s">
        <x:v>539</x:v>
      </x:c>
      <x:c r="I46" s="37" t="n">
        <x:v>1</x:v>
      </x:c>
      <x:c r="J46" s="11">
        <x:v>0.2</x:v>
      </x:c>
      <x:c r="K46" s="11" t="n">
        <x:f>J46*I46</x:f>
        <x:v>0.2</x:v>
      </x:c>
      <x:c r="L46" s="12" t="s">
        <x:v>38</x:v>
      </x:c>
      <x:c r="M46" s="13" t="s">
        <x:v>39</x:v>
      </x:c>
      <x:c r="N46" s="9" t="s">
        <x:v>540</x:v>
      </x:c>
      <x:c r="O46" s="10" t="s">
        <x:v>534</x:v>
      </x:c>
      <x:c r="P46" s="10" t="s">
        <x:v>535</x:v>
      </x:c>
      <x:c r="Q46" s="10" t="s">
        <x:v>541</x:v>
      </x:c>
      <x:c r="R46" s="10" t="s">
        <x:v>542</x:v>
      </x:c>
      <x:c r="S46" s="10" t="s">
        <x:v>508</x:v>
      </x:c>
      <x:c r="T46" s="12" t="s">
        <x:v>537</x:v>
      </x:c>
      <x:c r="U46" s="14" t="s">
        <x:v>543</x:v>
      </x:c>
      <x:c r="V46" s="9" t="s">
        <x:v>61</x:v>
      </x:c>
      <x:c r="W46" s="10" t="s">
        <x:v>62</x:v>
      </x:c>
      <x:c r="X46" s="10" t="s">
        <x:v>373</x:v>
      </x:c>
      <x:c r="Y46" s="10" t="s">
        <x:v>544</x:v>
      </x:c>
      <x:c r="Z46" s="10" t="s">
        <x:v>545</x:v>
      </x:c>
      <x:c r="AA46" s="41" t="n">
        <x:v>1</x:v>
      </x:c>
      <x:c r="AB46" s="10" t="s">
        <x:v>546</x:v>
      </x:c>
      <x:c r="AC46" s="12" t="s">
        <x:v>48</x:v>
      </x:c>
      <x:c r="AD46" s="16">
        <x:f t="shared" si="2"/>
        <x:v>8.88</x:v>
      </x:c>
      <x:c r="AE46" s="17"/>
    </x:row>
    <x:row r="47" ht="16.5">
      <x:c r="A47" s="9" t="s">
        <x:v>547</x:v>
      </x:c>
      <x:c r="B47" s="10" t="s">
        <x:v>136</x:v>
      </x:c>
      <x:c r="C47" s="10" t="s">
        <x:v>112</x:v>
      </x:c>
      <x:c r="D47" s="10"/>
      <x:c r="E47" s="10" t="s">
        <x:v>548</x:v>
      </x:c>
      <x:c r="F47" s="10" t="s">
        <x:v>549</x:v>
      </x:c>
      <x:c r="G47" s="10" t="s">
        <x:v>342</x:v>
      </x:c>
      <x:c r="H47" s="10" t="s">
        <x:v>550</x:v>
      </x:c>
      <x:c r="I47" s="37" t="n">
        <x:v>1</x:v>
      </x:c>
      <x:c r="J47" s="11"/>
      <x:c r="K47" s="11">
        <x:v>1</x:v>
      </x:c>
      <x:c r="L47" s="12" t="s">
        <x:v>38</x:v>
      </x:c>
      <x:c r="M47" s="13" t="s">
        <x:v>39</x:v>
      </x:c>
      <x:c r="N47" s="9" t="s">
        <x:v>551</x:v>
      </x:c>
      <x:c r="O47" s="10" t="s">
        <x:v>547</x:v>
      </x:c>
      <x:c r="P47" s="10" t="s">
        <x:v>136</x:v>
      </x:c>
      <x:c r="Q47" s="10" t="s">
        <x:v>118</x:v>
      </x:c>
      <x:c r="R47" s="10" t="s">
        <x:v>552</x:v>
      </x:c>
      <x:c r="S47" s="10" t="s">
        <x:v>91</x:v>
      </x:c>
      <x:c r="T47" s="12" t="s">
        <x:v>548</x:v>
      </x:c>
      <x:c r="U47" s="14" t="s">
        <x:v>553</x:v>
      </x:c>
      <x:c r="V47" s="9" t="s">
        <x:v>61</x:v>
      </x:c>
      <x:c r="W47" s="10" t="s">
        <x:v>62</x:v>
      </x:c>
      <x:c r="X47" s="10" t="s">
        <x:v>188</x:v>
      </x:c>
      <x:c r="Y47" s="10" t="s">
        <x:v>122</x:v>
      </x:c>
      <x:c r="Z47" s="10" t="s">
        <x:v>554</x:v>
      </x:c>
      <x:c r="AA47" s="41" t="n">
        <x:v>1</x:v>
      </x:c>
      <x:c r="AB47" s="10" t="s">
        <x:v>555</x:v>
      </x:c>
      <x:c r="AC47" s="12" t="s">
        <x:v>48</x:v>
      </x:c>
      <x:c r="AD47" s="16">
        <x:f t="shared" si="2"/>
        <x:v>5.15</x:v>
      </x:c>
      <x:c r="AE47" s="17"/>
    </x:row>
    <x:row r="48" ht="16.5">
      <x:c r="A48" s="9" t="s">
        <x:v>556</x:v>
      </x:c>
      <x:c r="B48" s="10" t="s">
        <x:v>111</x:v>
      </x:c>
      <x:c r="C48" s="10" t="s">
        <x:v>206</x:v>
      </x:c>
      <x:c r="D48" s="10"/>
      <x:c r="E48" s="10" t="s">
        <x:v>557</x:v>
      </x:c>
      <x:c r="F48" s="10" t="s">
        <x:v>558</x:v>
      </x:c>
      <x:c r="G48" s="10" t="s">
        <x:v>559</x:v>
      </x:c>
      <x:c r="H48" s="10" t="s">
        <x:v>560</x:v>
      </x:c>
      <x:c r="I48" s="37" t="n">
        <x:v>1</x:v>
      </x:c>
      <x:c r="J48" s="11"/>
      <x:c r="K48" s="11">
        <x:v>1</x:v>
      </x:c>
      <x:c r="L48" s="12" t="s">
        <x:v>38</x:v>
      </x:c>
      <x:c r="M48" s="13" t="s">
        <x:v>39</x:v>
      </x:c>
      <x:c r="N48" s="9" t="s">
        <x:v>561</x:v>
      </x:c>
      <x:c r="O48" s="10" t="s">
        <x:v>556</x:v>
      </x:c>
      <x:c r="P48" s="10" t="s">
        <x:v>111</x:v>
      </x:c>
      <x:c r="Q48" s="10" t="s">
        <x:v>143</x:v>
      </x:c>
      <x:c r="R48" s="10" t="s">
        <x:v>562</x:v>
      </x:c>
      <x:c r="S48" s="10" t="s">
        <x:v>91</x:v>
      </x:c>
      <x:c r="T48" s="12" t="s">
        <x:v>557</x:v>
      </x:c>
      <x:c r="U48" s="14" t="s">
        <x:v>563</x:v>
      </x:c>
      <x:c r="V48" s="9" t="s">
        <x:v>61</x:v>
      </x:c>
      <x:c r="W48" s="10" t="s">
        <x:v>62</x:v>
      </x:c>
      <x:c r="X48" s="10" t="s">
        <x:v>121</x:v>
      </x:c>
      <x:c r="Y48" s="10" t="s">
        <x:v>122</x:v>
      </x:c>
      <x:c r="Z48" s="10" t="s">
        <x:v>564</x:v>
      </x:c>
      <x:c r="AA48" s="41" t="n">
        <x:v>1</x:v>
      </x:c>
      <x:c r="AB48" s="10" t="s">
        <x:v>565</x:v>
      </x:c>
      <x:c r="AC48" s="12" t="s">
        <x:v>48</x:v>
      </x:c>
      <x:c r="AD48" s="16">
        <x:f t="shared" si="2"/>
        <x:v>3.07</x:v>
      </x:c>
      <x:c r="AE48" s="17"/>
    </x:row>
    <x:row r="49" ht="16.5">
      <x:c r="A49" s="9" t="s">
        <x:v>566</x:v>
      </x:c>
      <x:c r="B49" s="10" t="s">
        <x:v>567</x:v>
      </x:c>
      <x:c r="C49" s="10" t="s">
        <x:v>568</x:v>
      </x:c>
      <x:c r="D49" s="10"/>
      <x:c r="E49" s="10" t="s">
        <x:v>569</x:v>
      </x:c>
      <x:c r="F49" s="10" t="s">
        <x:v>570</x:v>
      </x:c>
      <x:c r="G49" s="10" t="s">
        <x:v>571</x:v>
      </x:c>
      <x:c r="H49" s="10" t="s">
        <x:v>572</x:v>
      </x:c>
      <x:c r="I49" s="37" t="n">
        <x:v>1</x:v>
      </x:c>
      <x:c r="J49" s="11">
        <x:v>1</x:v>
      </x:c>
      <x:c r="K49" s="11" t="n">
        <x:f>J49*I49</x:f>
        <x:v>1</x:v>
      </x:c>
      <x:c r="L49" s="12" t="s">
        <x:v>38</x:v>
      </x:c>
      <x:c r="M49" s="13" t="s">
        <x:v>39</x:v>
      </x:c>
      <x:c r="N49" s="9" t="s">
        <x:v>573</x:v>
      </x:c>
      <x:c r="O49" s="10" t="s">
        <x:v>566</x:v>
      </x:c>
      <x:c r="P49" s="10" t="s">
        <x:v>567</x:v>
      </x:c>
      <x:c r="Q49" s="10" t="s">
        <x:v>574</x:v>
      </x:c>
      <x:c r="R49" s="10" t="s">
        <x:v>575</x:v>
      </x:c>
      <x:c r="S49" s="10" t="s">
        <x:v>576</x:v>
      </x:c>
      <x:c r="T49" s="12" t="s">
        <x:v>569</x:v>
      </x:c>
      <x:c r="U49" s="14" t="s">
        <x:v>577</x:v>
      </x:c>
      <x:c r="V49" s="9" t="s">
        <x:v>61</x:v>
      </x:c>
      <x:c r="W49" s="10" t="s">
        <x:v>62</x:v>
      </x:c>
      <x:c r="X49" s="10" t="s">
        <x:v>63</x:v>
      </x:c>
      <x:c r="Y49" s="10" t="s">
        <x:v>78</x:v>
      </x:c>
      <x:c r="Z49" s="10" t="s">
        <x:v>578</x:v>
      </x:c>
      <x:c r="AA49" s="41" t="n">
        <x:v>1</x:v>
      </x:c>
      <x:c r="AB49" s="10" t="s">
        <x:v>579</x:v>
      </x:c>
      <x:c r="AC49" s="12" t="s">
        <x:v>48</x:v>
      </x:c>
      <x:c r="AD49" s="16">
        <x:f t="shared" si="2"/>
        <x:v>5.94</x:v>
      </x:c>
      <x:c r="AE49" s="17"/>
    </x:row>
    <x:row r="50" ht="16.5">
      <x:c r="A50" s="9" t="s">
        <x:v>580</x:v>
      </x:c>
      <x:c r="B50" s="10" t="s">
        <x:v>581</x:v>
      </x:c>
      <x:c r="C50" s="10" t="s">
        <x:v>582</x:v>
      </x:c>
      <x:c r="D50" s="10"/>
      <x:c r="E50" s="10" t="s">
        <x:v>583</x:v>
      </x:c>
      <x:c r="F50" s="10" t="s">
        <x:v>584</x:v>
      </x:c>
      <x:c r="G50" s="10" t="s">
        <x:v>580</x:v>
      </x:c>
      <x:c r="H50" s="10" t="s">
        <x:v>585</x:v>
      </x:c>
      <x:c r="I50" s="37" t="n">
        <x:v>2</x:v>
      </x:c>
      <x:c r="J50" s="11">
        <x:v>75</x:v>
      </x:c>
      <x:c r="K50" s="42" t="n">
        <x:f>J50*I50</x:f>
        <x:v>150</x:v>
      </x:c>
      <x:c r="L50" s="12" t="s">
        <x:v>38</x:v>
      </x:c>
      <x:c r="M50" s="13" t="s">
        <x:v>39</x:v>
      </x:c>
      <x:c r="N50" s="9" t="s">
        <x:v>586</x:v>
      </x:c>
      <x:c r="O50" s="10" t="s">
        <x:v>580</x:v>
      </x:c>
      <x:c r="P50" s="10" t="s">
        <x:v>581</x:v>
      </x:c>
      <x:c r="Q50" s="10" t="s">
        <x:v>587</x:v>
      </x:c>
      <x:c r="R50" s="10" t="s">
        <x:v>588</x:v>
      </x:c>
      <x:c r="S50" s="10" t="s">
        <x:v>589</x:v>
      </x:c>
      <x:c r="T50" s="12" t="s">
        <x:v>583</x:v>
      </x:c>
      <x:c r="U50" s="14" t="s">
        <x:v>590</x:v>
      </x:c>
      <x:c r="V50" s="9" t="s">
        <x:v>61</x:v>
      </x:c>
      <x:c r="W50" s="10" t="s">
        <x:v>62</x:v>
      </x:c>
      <x:c r="X50" s="10" t="s">
        <x:v>35</x:v>
      </x:c>
      <x:c r="Y50" s="10" t="s">
        <x:v>146</x:v>
      </x:c>
      <x:c r="Z50" s="10" t="s">
        <x:v>591</x:v>
      </x:c>
      <x:c r="AA50" s="18">
        <x:v>2</x:v>
      </x:c>
      <x:c r="AB50" s="10" t="s">
        <x:v>592</x:v>
      </x:c>
      <x:c r="AC50" s="12" t="s">
        <x:v>48</x:v>
      </x:c>
      <x:c r="AD50" s="16">
        <x:f t="shared" si="2"/>
        <x:v>170.54</x:v>
      </x:c>
      <x:c r="AE50" s="39" t="str">
        <x:v>1块板用1颗，备用1颗；购买数量1→2；采购数量1→2；含1块板用量及备件</x:v>
      </x:c>
    </x:row>
    <x:row r="51" ht="16.5">
      <x:c r="A51" s="9" t="s">
        <x:v>593</x:v>
      </x:c>
      <x:c r="B51" s="10" t="s">
        <x:v>136</x:v>
      </x:c>
      <x:c r="C51" s="10" t="s">
        <x:v>206</x:v>
      </x:c>
      <x:c r="D51" s="10"/>
      <x:c r="E51" s="10" t="s">
        <x:v>594</x:v>
      </x:c>
      <x:c r="F51" s="10" t="s">
        <x:v>595</x:v>
      </x:c>
      <x:c r="G51" s="10" t="s">
        <x:v>342</x:v>
      </x:c>
      <x:c r="H51" s="10" t="s">
        <x:v>596</x:v>
      </x:c>
      <x:c r="I51" s="37" t="n">
        <x:v>1</x:v>
      </x:c>
      <x:c r="J51" s="11"/>
      <x:c r="K51" s="11">
        <x:v>1</x:v>
      </x:c>
      <x:c r="L51" s="12" t="s">
        <x:v>38</x:v>
      </x:c>
      <x:c r="M51" s="13" t="s">
        <x:v>39</x:v>
      </x:c>
      <x:c r="N51" s="9" t="s">
        <x:v>597</x:v>
      </x:c>
      <x:c r="O51" s="10" t="s">
        <x:v>593</x:v>
      </x:c>
      <x:c r="P51" s="10" t="s">
        <x:v>136</x:v>
      </x:c>
      <x:c r="Q51" s="10" t="s">
        <x:v>143</x:v>
      </x:c>
      <x:c r="R51" s="10" t="s">
        <x:v>598</x:v>
      </x:c>
      <x:c r="S51" s="10" t="s">
        <x:v>91</x:v>
      </x:c>
      <x:c r="T51" s="12" t="s">
        <x:v>594</x:v>
      </x:c>
      <x:c r="U51" s="14" t="s">
        <x:v>599</x:v>
      </x:c>
      <x:c r="V51" s="9" t="s">
        <x:v>61</x:v>
      </x:c>
      <x:c r="W51" s="10" t="s">
        <x:v>62</x:v>
      </x:c>
      <x:c r="X51" s="10" t="s">
        <x:v>188</x:v>
      </x:c>
      <x:c r="Y51" s="10" t="s">
        <x:v>122</x:v>
      </x:c>
      <x:c r="Z51" s="10" t="s">
        <x:v>600</x:v>
      </x:c>
      <x:c r="AA51" s="41" t="n">
        <x:v>1</x:v>
      </x:c>
      <x:c r="AB51" s="10" t="s">
        <x:v>601</x:v>
      </x:c>
      <x:c r="AC51" s="12" t="s">
        <x:v>48</x:v>
      </x:c>
      <x:c r="AD51" s="16">
        <x:f t="shared" si="2"/>
        <x:v>3.78</x:v>
      </x:c>
      <x:c r="AE51" s="17"/>
    </x:row>
    <x:row r="52" ht="16.5">
      <x:c r="A52" s="9" t="s">
        <x:v>602</x:v>
      </x:c>
      <x:c r="B52" s="10" t="s">
        <x:v>205</x:v>
      </x:c>
      <x:c r="C52" s="10" t="s">
        <x:v>206</x:v>
      </x:c>
      <x:c r="D52" s="10"/>
      <x:c r="E52" s="10" t="s">
        <x:v>603</x:v>
      </x:c>
      <x:c r="F52" s="10" t="s">
        <x:v>146</x:v>
      </x:c>
      <x:c r="G52" s="10" t="s">
        <x:v>604</x:v>
      </x:c>
      <x:c r="H52" s="10" t="s">
        <x:v>605</x:v>
      </x:c>
      <x:c r="I52" s="37" t="n">
        <x:v>1</x:v>
      </x:c>
      <x:c r="J52" s="11"/>
      <x:c r="K52" s="11">
        <x:v>1</x:v>
      </x:c>
      <x:c r="L52" s="12" t="s">
        <x:v>38</x:v>
      </x:c>
      <x:c r="M52" s="13" t="s">
        <x:v>39</x:v>
      </x:c>
      <x:c r="N52" s="9" t="s">
        <x:v>606</x:v>
      </x:c>
      <x:c r="O52" s="10" t="s">
        <x:v>602</x:v>
      </x:c>
      <x:c r="P52" s="10" t="s">
        <x:v>205</x:v>
      </x:c>
      <x:c r="Q52" s="10" t="s">
        <x:v>143</x:v>
      </x:c>
      <x:c r="R52" s="10" t="s">
        <x:v>607</x:v>
      </x:c>
      <x:c r="S52" s="10" t="s">
        <x:v>91</x:v>
      </x:c>
      <x:c r="T52" s="12" t="s">
        <x:v>603</x:v>
      </x:c>
      <x:c r="U52" s="14" t="s">
        <x:v>608</x:v>
      </x:c>
      <x:c r="V52" s="9" t="s">
        <x:v>61</x:v>
      </x:c>
      <x:c r="W52" s="10" t="s">
        <x:v>62</x:v>
      </x:c>
      <x:c r="X52" s="10" t="s">
        <x:v>121</x:v>
      </x:c>
      <x:c r="Y52" s="10" t="s">
        <x:v>122</x:v>
      </x:c>
      <x:c r="Z52" s="10" t="s">
        <x:v>609</x:v>
      </x:c>
      <x:c r="AA52" s="41" t="n">
        <x:v>1</x:v>
      </x:c>
      <x:c r="AB52" s="10" t="s">
        <x:v>610</x:v>
      </x:c>
      <x:c r="AC52" s="12" t="s">
        <x:v>48</x:v>
      </x:c>
      <x:c r="AD52" s="16">
        <x:f t="shared" si="2"/>
        <x:v>1.33</x:v>
      </x:c>
      <x:c r="AE52" s="17"/>
    </x:row>
    <x:row r="53" ht="16.5">
      <x:c r="A53" s="9" t="s">
        <x:v>611</x:v>
      </x:c>
      <x:c r="B53" s="10" t="s">
        <x:v>111</x:v>
      </x:c>
      <x:c r="C53" s="10" t="s">
        <x:v>206</x:v>
      </x:c>
      <x:c r="D53" s="10"/>
      <x:c r="E53" s="10" t="s">
        <x:v>612</x:v>
      </x:c>
      <x:c r="F53" s="10" t="s">
        <x:v>613</x:v>
      </x:c>
      <x:c r="G53" s="10" t="s">
        <x:v>209</x:v>
      </x:c>
      <x:c r="H53" s="10" t="s">
        <x:v>614</x:v>
      </x:c>
      <x:c r="I53" s="37" t="n">
        <x:v>1</x:v>
      </x:c>
      <x:c r="J53" s="11"/>
      <x:c r="K53" s="11">
        <x:v>1</x:v>
      </x:c>
      <x:c r="L53" s="12" t="s">
        <x:v>38</x:v>
      </x:c>
      <x:c r="M53" s="13" t="s">
        <x:v>39</x:v>
      </x:c>
      <x:c r="N53" s="9" t="s">
        <x:v>211</x:v>
      </x:c>
      <x:c r="O53" s="10" t="s">
        <x:v>611</x:v>
      </x:c>
      <x:c r="P53" s="10" t="s">
        <x:v>111</x:v>
      </x:c>
      <x:c r="Q53" s="10" t="s">
        <x:v>143</x:v>
      </x:c>
      <x:c r="R53" s="10" t="s">
        <x:v>212</x:v>
      </x:c>
      <x:c r="S53" s="10" t="s">
        <x:v>91</x:v>
      </x:c>
      <x:c r="T53" s="12" t="s">
        <x:v>612</x:v>
      </x:c>
      <x:c r="U53" s="14" t="s">
        <x:v>615</x:v>
      </x:c>
      <x:c r="V53" s="9" t="s">
        <x:v>61</x:v>
      </x:c>
      <x:c r="W53" s="10" t="s">
        <x:v>62</x:v>
      </x:c>
      <x:c r="X53" s="10" t="s">
        <x:v>121</x:v>
      </x:c>
      <x:c r="Y53" s="10" t="s">
        <x:v>122</x:v>
      </x:c>
      <x:c r="Z53" s="10" t="s">
        <x:v>616</x:v>
      </x:c>
      <x:c r="AA53" s="41" t="n">
        <x:v>1</x:v>
      </x:c>
      <x:c r="AB53" s="10" t="s">
        <x:v>617</x:v>
      </x:c>
      <x:c r="AC53" s="12" t="s">
        <x:v>48</x:v>
      </x:c>
      <x:c r="AD53" s="16">
        <x:f t="shared" si="2"/>
        <x:v>2.72</x:v>
      </x:c>
      <x:c r="AE53" s="17"/>
    </x:row>
    <x:row r="54" ht="16.5">
      <x:c r="A54" s="9" t="s">
        <x:v>618</x:v>
      </x:c>
      <x:c r="B54" s="10" t="s">
        <x:v>205</x:v>
      </x:c>
      <x:c r="C54" s="10" t="s">
        <x:v>137</x:v>
      </x:c>
      <x:c r="D54" s="10"/>
      <x:c r="E54" s="10" t="s">
        <x:v>619</x:v>
      </x:c>
      <x:c r="F54" s="10" t="s">
        <x:v>620</x:v>
      </x:c>
      <x:c r="G54" s="10" t="s">
        <x:v>621</x:v>
      </x:c>
      <x:c r="H54" s="10" t="s">
        <x:v>622</x:v>
      </x:c>
      <x:c r="I54" s="37" t="n">
        <x:v>1</x:v>
      </x:c>
      <x:c r="J54" s="11"/>
      <x:c r="K54" s="11">
        <x:v>1</x:v>
      </x:c>
      <x:c r="L54" s="12" t="s">
        <x:v>38</x:v>
      </x:c>
      <x:c r="M54" s="13" t="s">
        <x:v>39</x:v>
      </x:c>
      <x:c r="N54" s="9" t="s">
        <x:v>623</x:v>
      </x:c>
      <x:c r="O54" s="10" t="s">
        <x:v>618</x:v>
      </x:c>
      <x:c r="P54" s="10" t="s">
        <x:v>205</x:v>
      </x:c>
      <x:c r="Q54" s="10" t="s">
        <x:v>143</x:v>
      </x:c>
      <x:c r="R54" s="10" t="s">
        <x:v>624</x:v>
      </x:c>
      <x:c r="S54" s="10" t="s">
        <x:v>59</x:v>
      </x:c>
      <x:c r="T54" s="12" t="s">
        <x:v>619</x:v>
      </x:c>
      <x:c r="U54" s="14" t="s">
        <x:v>625</x:v>
      </x:c>
      <x:c r="V54" s="9" t="s">
        <x:v>61</x:v>
      </x:c>
      <x:c r="W54" s="10" t="s">
        <x:v>62</x:v>
      </x:c>
      <x:c r="X54" s="10" t="s">
        <x:v>146</x:v>
      </x:c>
      <x:c r="Y54" s="10" t="s">
        <x:v>94</x:v>
      </x:c>
      <x:c r="Z54" s="10" t="s">
        <x:v>626</x:v>
      </x:c>
      <x:c r="AA54" s="41" t="n">
        <x:v>1</x:v>
      </x:c>
      <x:c r="AB54" s="10" t="s">
        <x:v>627</x:v>
      </x:c>
      <x:c r="AC54" s="12" t="s">
        <x:v>48</x:v>
      </x:c>
      <x:c r="AD54" s="16">
        <x:f t="shared" si="2"/>
        <x:v>4.52</x:v>
      </x:c>
      <x:c r="AE54" s="17"/>
    </x:row>
    <x:row r="55" ht="16.5">
      <x:c r="A55" s="9" t="s">
        <x:v>628</x:v>
      </x:c>
      <x:c r="B55" s="10" t="s">
        <x:v>205</x:v>
      </x:c>
      <x:c r="C55" s="10" t="s">
        <x:v>206</x:v>
      </x:c>
      <x:c r="D55" s="10"/>
      <x:c r="E55" s="10" t="s">
        <x:v>629</x:v>
      </x:c>
      <x:c r="F55" s="10" t="s">
        <x:v>630</x:v>
      </x:c>
      <x:c r="G55" s="10" t="s">
        <x:v>631</x:v>
      </x:c>
      <x:c r="H55" s="10" t="s">
        <x:v>632</x:v>
      </x:c>
      <x:c r="I55" s="37" t="n">
        <x:v>1</x:v>
      </x:c>
      <x:c r="J55" s="11"/>
      <x:c r="K55" s="11">
        <x:v>1</x:v>
      </x:c>
      <x:c r="L55" s="12" t="s">
        <x:v>38</x:v>
      </x:c>
      <x:c r="M55" s="13" t="s">
        <x:v>39</x:v>
      </x:c>
      <x:c r="N55" s="9" t="s">
        <x:v>633</x:v>
      </x:c>
      <x:c r="O55" s="10" t="s">
        <x:v>628</x:v>
      </x:c>
      <x:c r="P55" s="10" t="s">
        <x:v>205</x:v>
      </x:c>
      <x:c r="Q55" s="10" t="s">
        <x:v>143</x:v>
      </x:c>
      <x:c r="R55" s="10" t="s">
        <x:v>634</x:v>
      </x:c>
      <x:c r="S55" s="10" t="s">
        <x:v>91</x:v>
      </x:c>
      <x:c r="T55" s="12" t="s">
        <x:v>629</x:v>
      </x:c>
      <x:c r="U55" s="14" t="s">
        <x:v>635</x:v>
      </x:c>
      <x:c r="V55" s="9" t="s">
        <x:v>61</x:v>
      </x:c>
      <x:c r="W55" s="10" t="s">
        <x:v>62</x:v>
      </x:c>
      <x:c r="X55" s="10" t="s">
        <x:v>121</x:v>
      </x:c>
      <x:c r="Y55" s="10" t="s">
        <x:v>122</x:v>
      </x:c>
      <x:c r="Z55" s="10" t="s">
        <x:v>636</x:v>
      </x:c>
      <x:c r="AA55" s="41" t="n">
        <x:v>1</x:v>
      </x:c>
      <x:c r="AB55" s="10" t="s">
        <x:v>637</x:v>
      </x:c>
      <x:c r="AC55" s="12" t="s">
        <x:v>48</x:v>
      </x:c>
      <x:c r="AD55" s="16">
        <x:f t="shared" si="2"/>
        <x:v>1.26</x:v>
      </x:c>
      <x:c r="AE55" s="17"/>
    </x:row>
    <x:row r="56" ht="16.5">
      <x:c r="A56" s="9" t="s">
        <x:v>638</x:v>
      </x:c>
      <x:c r="B56" s="10" t="s">
        <x:v>205</x:v>
      </x:c>
      <x:c r="C56" s="10" t="s">
        <x:v>206</x:v>
      </x:c>
      <x:c r="D56" s="10"/>
      <x:c r="E56" s="10" t="s">
        <x:v>639</x:v>
      </x:c>
      <x:c r="F56" s="10" t="s">
        <x:v>640</x:v>
      </x:c>
      <x:c r="G56" s="10" t="s">
        <x:v>641</x:v>
      </x:c>
      <x:c r="H56" s="10" t="s">
        <x:v>642</x:v>
      </x:c>
      <x:c r="I56" s="37" t="n">
        <x:v>2</x:v>
      </x:c>
      <x:c r="J56" s="11"/>
      <x:c r="K56" s="11">
        <x:v>1</x:v>
      </x:c>
      <x:c r="L56" s="12" t="s">
        <x:v>38</x:v>
      </x:c>
      <x:c r="M56" s="13" t="s">
        <x:v>39</x:v>
      </x:c>
      <x:c r="N56" s="9" t="s">
        <x:v>643</x:v>
      </x:c>
      <x:c r="O56" s="10" t="s">
        <x:v>638</x:v>
      </x:c>
      <x:c r="P56" s="10" t="s">
        <x:v>205</x:v>
      </x:c>
      <x:c r="Q56" s="10" t="s">
        <x:v>143</x:v>
      </x:c>
      <x:c r="R56" s="10" t="s">
        <x:v>644</x:v>
      </x:c>
      <x:c r="S56" s="10" t="s">
        <x:v>91</x:v>
      </x:c>
      <x:c r="T56" s="12" t="s">
        <x:v>639</x:v>
      </x:c>
      <x:c r="U56" s="14" t="s">
        <x:v>645</x:v>
      </x:c>
      <x:c r="V56" s="9" t="s">
        <x:v>61</x:v>
      </x:c>
      <x:c r="W56" s="10" t="s">
        <x:v>62</x:v>
      </x:c>
      <x:c r="X56" s="10" t="s">
        <x:v>121</x:v>
      </x:c>
      <x:c r="Y56" s="10" t="s">
        <x:v>122</x:v>
      </x:c>
      <x:c r="Z56" s="10" t="s">
        <x:v>646</x:v>
      </x:c>
      <x:c r="AA56" s="41" t="n">
        <x:v>2</x:v>
      </x:c>
      <x:c r="AB56" s="10" t="s">
        <x:v>647</x:v>
      </x:c>
      <x:c r="AC56" s="12" t="s">
        <x:v>48</x:v>
      </x:c>
      <x:c r="AD56" s="16">
        <x:f t="shared" si="2"/>
        <x:v>1.43</x:v>
      </x:c>
      <x:c r="AE56" s="17"/>
    </x:row>
    <x:row r="57" ht="16.5">
      <x:c r="A57" s="9" t="s">
        <x:v>648</x:v>
      </x:c>
      <x:c r="B57" s="10" t="s">
        <x:v>136</x:v>
      </x:c>
      <x:c r="C57" s="10" t="s">
        <x:v>137</x:v>
      </x:c>
      <x:c r="D57" s="10"/>
      <x:c r="E57" s="10" t="s">
        <x:v>649</x:v>
      </x:c>
      <x:c r="F57" s="10" t="s">
        <x:v>650</x:v>
      </x:c>
      <x:c r="G57" s="10" t="s">
        <x:v>651</x:v>
      </x:c>
      <x:c r="H57" s="10" t="s">
        <x:v>652</x:v>
      </x:c>
      <x:c r="I57" s="37" t="n">
        <x:v>1</x:v>
      </x:c>
      <x:c r="J57" s="11"/>
      <x:c r="K57" s="11">
        <x:v>1</x:v>
      </x:c>
      <x:c r="L57" s="12" t="s">
        <x:v>38</x:v>
      </x:c>
      <x:c r="M57" s="13" t="s">
        <x:v>39</x:v>
      </x:c>
      <x:c r="N57" s="9" t="s">
        <x:v>653</x:v>
      </x:c>
      <x:c r="O57" s="10" t="s">
        <x:v>648</x:v>
      </x:c>
      <x:c r="P57" s="10" t="s">
        <x:v>136</x:v>
      </x:c>
      <x:c r="Q57" s="10" t="s">
        <x:v>143</x:v>
      </x:c>
      <x:c r="R57" s="10" t="s">
        <x:v>654</x:v>
      </x:c>
      <x:c r="S57" s="10" t="s">
        <x:v>59</x:v>
      </x:c>
      <x:c r="T57" s="12" t="s">
        <x:v>649</x:v>
      </x:c>
      <x:c r="U57" s="14" t="s">
        <x:v>655</x:v>
      </x:c>
      <x:c r="V57" s="9" t="s">
        <x:v>61</x:v>
      </x:c>
      <x:c r="W57" s="10" t="s">
        <x:v>62</x:v>
      </x:c>
      <x:c r="X57" s="10" t="s">
        <x:v>121</x:v>
      </x:c>
      <x:c r="Y57" s="10" t="s">
        <x:v>94</x:v>
      </x:c>
      <x:c r="Z57" s="10" t="s">
        <x:v>656</x:v>
      </x:c>
      <x:c r="AA57" s="41" t="n">
        <x:v>1</x:v>
      </x:c>
      <x:c r="AB57" s="10" t="s">
        <x:v>657</x:v>
      </x:c>
      <x:c r="AC57" s="12" t="s">
        <x:v>48</x:v>
      </x:c>
      <x:c r="AD57" s="16">
        <x:f t="shared" si="2"/>
        <x:v>3.71</x:v>
      </x:c>
      <x:c r="AE57" s="17"/>
    </x:row>
    <x:row r="58" ht="16.5">
      <x:c r="A58" s="9" t="s">
        <x:v>658</x:v>
      </x:c>
      <x:c r="B58" s="10" t="s">
        <x:v>111</x:v>
      </x:c>
      <x:c r="C58" s="10" t="s">
        <x:v>206</x:v>
      </x:c>
      <x:c r="D58" s="10"/>
      <x:c r="E58" s="10" t="s">
        <x:v>659</x:v>
      </x:c>
      <x:c r="F58" s="10" t="s">
        <x:v>660</x:v>
      </x:c>
      <x:c r="G58" s="10" t="s">
        <x:v>661</x:v>
      </x:c>
      <x:c r="H58" s="10" t="s">
        <x:v>662</x:v>
      </x:c>
      <x:c r="I58" s="37" t="n">
        <x:v>1</x:v>
      </x:c>
      <x:c r="J58" s="11"/>
      <x:c r="K58" s="11">
        <x:v>1</x:v>
      </x:c>
      <x:c r="L58" s="12" t="s">
        <x:v>38</x:v>
      </x:c>
      <x:c r="M58" s="13" t="s">
        <x:v>39</x:v>
      </x:c>
      <x:c r="N58" s="9" t="s">
        <x:v>663</x:v>
      </x:c>
      <x:c r="O58" s="10" t="s">
        <x:v>658</x:v>
      </x:c>
      <x:c r="P58" s="10" t="s">
        <x:v>111</x:v>
      </x:c>
      <x:c r="Q58" s="10" t="s">
        <x:v>143</x:v>
      </x:c>
      <x:c r="R58" s="10" t="s">
        <x:v>664</x:v>
      </x:c>
      <x:c r="S58" s="10" t="s">
        <x:v>91</x:v>
      </x:c>
      <x:c r="T58" s="12" t="s">
        <x:v>659</x:v>
      </x:c>
      <x:c r="U58" s="14" t="s">
        <x:v>665</x:v>
      </x:c>
      <x:c r="V58" s="9" t="s">
        <x:v>61</x:v>
      </x:c>
      <x:c r="W58" s="10" t="s">
        <x:v>62</x:v>
      </x:c>
      <x:c r="X58" s="10" t="s">
        <x:v>121</x:v>
      </x:c>
      <x:c r="Y58" s="10" t="s">
        <x:v>122</x:v>
      </x:c>
      <x:c r="Z58" s="10" t="s">
        <x:v>666</x:v>
      </x:c>
      <x:c r="AA58" s="41" t="n">
        <x:v>1</x:v>
      </x:c>
      <x:c r="AB58" s="10" t="s">
        <x:v>667</x:v>
      </x:c>
      <x:c r="AC58" s="12" t="s">
        <x:v>48</x:v>
      </x:c>
      <x:c r="AD58" s="16">
        <x:f t="shared" si="2"/>
        <x:v>1.29</x:v>
      </x:c>
      <x:c r="AE58" s="17"/>
    </x:row>
    <x:row r="59" ht="16.5">
      <x:c r="A59" s="9" t="s">
        <x:v>668</x:v>
      </x:c>
      <x:c r="B59" s="10" t="s">
        <x:v>68</x:v>
      </x:c>
      <x:c r="C59" s="10" t="s">
        <x:v>206</x:v>
      </x:c>
      <x:c r="D59" s="10"/>
      <x:c r="E59" s="10" t="s">
        <x:v>669</x:v>
      </x:c>
      <x:c r="F59" s="10" t="s">
        <x:v>670</x:v>
      </x:c>
      <x:c r="G59" s="10" t="s">
        <x:v>668</x:v>
      </x:c>
      <x:c r="H59" s="10" t="s">
        <x:v>671</x:v>
      </x:c>
      <x:c r="I59" s="37" t="n">
        <x:v>1</x:v>
      </x:c>
      <x:c r="J59" s="11"/>
      <x:c r="K59" s="11">
        <x:v>1</x:v>
      </x:c>
      <x:c r="L59" s="12" t="s">
        <x:v>38</x:v>
      </x:c>
      <x:c r="M59" s="13" t="s">
        <x:v>39</x:v>
      </x:c>
      <x:c r="N59" s="9" t="s">
        <x:v>672</x:v>
      </x:c>
      <x:c r="O59" s="10" t="s">
        <x:v>668</x:v>
      </x:c>
      <x:c r="P59" s="10" t="s">
        <x:v>68</x:v>
      </x:c>
      <x:c r="Q59" s="10" t="s">
        <x:v>143</x:v>
      </x:c>
      <x:c r="R59" s="10" t="s">
        <x:v>673</x:v>
      </x:c>
      <x:c r="S59" s="10" t="s">
        <x:v>674</x:v>
      </x:c>
      <x:c r="T59" s="12" t="s">
        <x:v>669</x:v>
      </x:c>
      <x:c r="U59" s="14" t="s">
        <x:v>675</x:v>
      </x:c>
      <x:c r="V59" s="9" t="s">
        <x:v>61</x:v>
      </x:c>
      <x:c r="W59" s="10" t="s">
        <x:v>62</x:v>
      </x:c>
      <x:c r="X59" s="10" t="s">
        <x:v>93</x:v>
      </x:c>
      <x:c r="Y59" s="10" t="s">
        <x:v>94</x:v>
      </x:c>
      <x:c r="Z59" s="10" t="s">
        <x:v>676</x:v>
      </x:c>
      <x:c r="AA59" s="41" t="n">
        <x:v>1</x:v>
      </x:c>
      <x:c r="AB59" s="10" t="s">
        <x:v>677</x:v>
      </x:c>
      <x:c r="AC59" s="12" t="s">
        <x:v>48</x:v>
      </x:c>
      <x:c r="AD59" s="16">
        <x:f t="shared" si="2"/>
        <x:v>1.92</x:v>
      </x:c>
      <x:c r="AE59" s="17"/>
    </x:row>
    <x:row r="60" ht="16.5">
      <x:c r="A60" s="9" t="s">
        <x:v>678</x:v>
      </x:c>
      <x:c r="B60" s="10" t="s">
        <x:v>205</x:v>
      </x:c>
      <x:c r="C60" s="10" t="s">
        <x:v>206</x:v>
      </x:c>
      <x:c r="D60" s="10"/>
      <x:c r="E60" s="10" t="s">
        <x:v>679</x:v>
      </x:c>
      <x:c r="F60" s="10" t="s">
        <x:v>544</x:v>
      </x:c>
      <x:c r="G60" s="10" t="s">
        <x:v>680</x:v>
      </x:c>
      <x:c r="H60" s="10" t="s">
        <x:v>681</x:v>
      </x:c>
      <x:c r="I60" s="37" t="n">
        <x:v>1</x:v>
      </x:c>
      <x:c r="J60" s="11"/>
      <x:c r="K60" s="11">
        <x:v>1</x:v>
      </x:c>
      <x:c r="L60" s="12" t="s">
        <x:v>38</x:v>
      </x:c>
      <x:c r="M60" s="13" t="s">
        <x:v>39</x:v>
      </x:c>
      <x:c r="N60" s="9" t="s">
        <x:v>682</x:v>
      </x:c>
      <x:c r="O60" s="10" t="s">
        <x:v>678</x:v>
      </x:c>
      <x:c r="P60" s="10" t="s">
        <x:v>205</x:v>
      </x:c>
      <x:c r="Q60" s="10" t="s">
        <x:v>143</x:v>
      </x:c>
      <x:c r="R60" s="10" t="s">
        <x:v>683</x:v>
      </x:c>
      <x:c r="S60" s="10" t="s">
        <x:v>91</x:v>
      </x:c>
      <x:c r="T60" s="12" t="s">
        <x:v>679</x:v>
      </x:c>
      <x:c r="U60" s="14" t="s">
        <x:v>684</x:v>
      </x:c>
      <x:c r="V60" s="9" t="s">
        <x:v>61</x:v>
      </x:c>
      <x:c r="W60" s="10" t="s">
        <x:v>62</x:v>
      </x:c>
      <x:c r="X60" s="10" t="s">
        <x:v>121</x:v>
      </x:c>
      <x:c r="Y60" s="10" t="s">
        <x:v>122</x:v>
      </x:c>
      <x:c r="Z60" s="10" t="s">
        <x:v>685</x:v>
      </x:c>
      <x:c r="AA60" s="41" t="n">
        <x:v>1</x:v>
      </x:c>
      <x:c r="AB60" s="10" t="s">
        <x:v>686</x:v>
      </x:c>
      <x:c r="AC60" s="12" t="s">
        <x:v>48</x:v>
      </x:c>
      <x:c r="AD60" s="16">
        <x:f t="shared" si="2"/>
        <x:v>5.92</x:v>
      </x:c>
      <x:c r="AE60" s="17"/>
    </x:row>
    <x:row r="61" ht="16.5">
      <x:c r="A61" s="9" t="s">
        <x:v>687</x:v>
      </x:c>
      <x:c r="B61" s="10" t="s">
        <x:v>688</x:v>
      </x:c>
      <x:c r="C61" s="10" t="s">
        <x:v>52</x:v>
      </x:c>
      <x:c r="D61" s="10"/>
      <x:c r="E61" s="10" t="s">
        <x:v>689</x:v>
      </x:c>
      <x:c r="F61" s="10" t="s">
        <x:v>690</x:v>
      </x:c>
      <x:c r="G61" s="10" t="s">
        <x:v>691</x:v>
      </x:c>
      <x:c r="H61" s="10" t="s">
        <x:v>692</x:v>
      </x:c>
      <x:c r="I61" s="37" t="n">
        <x:v>5</x:v>
      </x:c>
      <x:c r="J61" s="11">
        <x:v>1.8</x:v>
      </x:c>
      <x:c r="K61" s="42" t="n">
        <x:f>J61*I61</x:f>
        <x:v>9</x:v>
      </x:c>
      <x:c r="L61" s="12" t="s">
        <x:v>38</x:v>
      </x:c>
      <x:c r="M61" s="13" t="s">
        <x:v>39</x:v>
      </x:c>
      <x:c r="N61" s="9" t="s">
        <x:v>693</x:v>
      </x:c>
      <x:c r="O61" s="10" t="s">
        <x:v>687</x:v>
      </x:c>
      <x:c r="P61" s="10" t="s">
        <x:v>688</x:v>
      </x:c>
      <x:c r="Q61" s="10" t="s">
        <x:v>57</x:v>
      </x:c>
      <x:c r="R61" s="10" t="s">
        <x:v>694</x:v>
      </x:c>
      <x:c r="S61" s="10" t="s">
        <x:v>59</x:v>
      </x:c>
      <x:c r="T61" s="12" t="s">
        <x:v>689</x:v>
      </x:c>
      <x:c r="U61" s="14" t="s">
        <x:v>695</x:v>
      </x:c>
      <x:c r="V61" s="9" t="s">
        <x:v>61</x:v>
      </x:c>
      <x:c r="W61" s="10" t="s">
        <x:v>62</x:v>
      </x:c>
      <x:c r="X61" s="10" t="s">
        <x:v>35</x:v>
      </x:c>
      <x:c r="Y61" s="10" t="s">
        <x:v>64</x:v>
      </x:c>
      <x:c r="Z61" s="10" t="s">
        <x:v>696</x:v>
      </x:c>
      <x:c r="AA61" s="18">
        <x:v>5</x:v>
      </x:c>
      <x:c r="AB61" s="10" t="s">
        <x:v>697</x:v>
      </x:c>
      <x:c r="AC61" s="12" t="s">
        <x:v>48</x:v>
      </x:c>
      <x:c r="AD61" s="16">
        <x:f t="shared" si="2"/>
        <x:v>11.5</x:v>
      </x:c>
      <x:c r="AE61" s="39" t="str">
        <x:v>1块板用3颗，备用2颗；购买数量3→5；采购数量3→5；含1块板用量及备件</x:v>
      </x:c>
    </x:row>
    <x:row r="62" ht="16.5">
      <x:c r="A62" s="9" t="s">
        <x:v>698</x:v>
      </x:c>
      <x:c r="B62" s="10" t="s">
        <x:v>699</x:v>
      </x:c>
      <x:c r="C62" s="10" t="s">
        <x:v>700</x:v>
      </x:c>
      <x:c r="D62" s="10"/>
      <x:c r="E62" s="10" t="s">
        <x:v>701</x:v>
      </x:c>
      <x:c r="F62" s="10" t="s">
        <x:v>702</x:v>
      </x:c>
      <x:c r="G62" s="10" t="s">
        <x:v>698</x:v>
      </x:c>
      <x:c r="H62" s="10" t="s">
        <x:v>703</x:v>
      </x:c>
      <x:c r="I62" s="37" t="n">
        <x:v>1</x:v>
      </x:c>
      <x:c r="J62" s="11">
        <x:v>0.2</x:v>
      </x:c>
      <x:c r="K62" s="11" t="n">
        <x:f>J62*I62</x:f>
        <x:v>0.2</x:v>
      </x:c>
      <x:c r="L62" s="12" t="s">
        <x:v>38</x:v>
      </x:c>
      <x:c r="M62" s="13" t="s">
        <x:v>39</x:v>
      </x:c>
      <x:c r="N62" s="9" t="s">
        <x:v>704</x:v>
      </x:c>
      <x:c r="O62" s="10" t="s">
        <x:v>698</x:v>
      </x:c>
      <x:c r="P62" s="10" t="s">
        <x:v>699</x:v>
      </x:c>
      <x:c r="Q62" s="10" t="s">
        <x:v>164</x:v>
      </x:c>
      <x:c r="R62" s="10" t="s">
        <x:v>705</x:v>
      </x:c>
      <x:c r="S62" s="10" t="s">
        <x:v>166</x:v>
      </x:c>
      <x:c r="T62" s="12" t="s">
        <x:v>701</x:v>
      </x:c>
      <x:c r="U62" s="14" t="s">
        <x:v>706</x:v>
      </x:c>
      <x:c r="V62" s="9" t="s">
        <x:v>61</x:v>
      </x:c>
      <x:c r="W62" s="10" t="s">
        <x:v>62</x:v>
      </x:c>
      <x:c r="X62" s="10" t="s">
        <x:v>188</x:v>
      </x:c>
      <x:c r="Y62" s="10" t="s">
        <x:v>78</x:v>
      </x:c>
      <x:c r="Z62" s="10" t="s">
        <x:v>707</x:v>
      </x:c>
      <x:c r="AA62" s="41" t="n">
        <x:v>1</x:v>
      </x:c>
      <x:c r="AB62" s="10" t="s">
        <x:v>708</x:v>
      </x:c>
      <x:c r="AC62" s="12" t="s">
        <x:v>48</x:v>
      </x:c>
      <x:c r="AD62" s="16">
        <x:f t="shared" si="2"/>
        <x:v>4.34</x:v>
      </x:c>
      <x:c r="AE62" s="17"/>
    </x:row>
    <x:row r="63" ht="16.5">
      <x:c r="A63" s="9" t="s">
        <x:v>709</x:v>
      </x:c>
      <x:c r="B63" s="10" t="s">
        <x:v>287</x:v>
      </x:c>
      <x:c r="C63" s="10" t="s">
        <x:v>137</x:v>
      </x:c>
      <x:c r="D63" s="10"/>
      <x:c r="E63" s="10" t="s">
        <x:v>710</x:v>
      </x:c>
      <x:c r="F63" s="10" t="s">
        <x:v>711</x:v>
      </x:c>
      <x:c r="G63" s="10" t="s">
        <x:v>712</x:v>
      </x:c>
      <x:c r="H63" s="10" t="s">
        <x:v>713</x:v>
      </x:c>
      <x:c r="I63" s="37" t="n">
        <x:v>1</x:v>
      </x:c>
      <x:c r="J63" s="11"/>
      <x:c r="K63" s="11">
        <x:v>1</x:v>
      </x:c>
      <x:c r="L63" s="12" t="s">
        <x:v>38</x:v>
      </x:c>
      <x:c r="M63" s="13" t="s">
        <x:v>39</x:v>
      </x:c>
      <x:c r="N63" s="9" t="s">
        <x:v>714</x:v>
      </x:c>
      <x:c r="O63" s="10" t="s">
        <x:v>709</x:v>
      </x:c>
      <x:c r="P63" s="10" t="s">
        <x:v>287</x:v>
      </x:c>
      <x:c r="Q63" s="10" t="s">
        <x:v>143</x:v>
      </x:c>
      <x:c r="R63" s="10" t="s">
        <x:v>715</x:v>
      </x:c>
      <x:c r="S63" s="10" t="s">
        <x:v>59</x:v>
      </x:c>
      <x:c r="T63" s="12" t="s">
        <x:v>710</x:v>
      </x:c>
      <x:c r="U63" s="14" t="s">
        <x:v>716</x:v>
      </x:c>
      <x:c r="V63" s="9" t="s">
        <x:v>61</x:v>
      </x:c>
      <x:c r="W63" s="10" t="s">
        <x:v>62</x:v>
      </x:c>
      <x:c r="X63" s="10" t="s">
        <x:v>146</x:v>
      </x:c>
      <x:c r="Y63" s="10" t="s">
        <x:v>94</x:v>
      </x:c>
      <x:c r="Z63" s="10" t="s">
        <x:v>717</x:v>
      </x:c>
      <x:c r="AA63" s="41" t="n">
        <x:v>1</x:v>
      </x:c>
      <x:c r="AB63" s="10" t="s">
        <x:v>718</x:v>
      </x:c>
      <x:c r="AC63" s="12" t="s">
        <x:v>48</x:v>
      </x:c>
      <x:c r="AD63" s="16">
        <x:f t="shared" si="2"/>
        <x:v>5.15</x:v>
      </x:c>
      <x:c r="AE63" s="17"/>
    </x:row>
    <x:row r="64" ht="16.5">
      <x:c r="A64" s="9" t="s">
        <x:v>719</x:v>
      </x:c>
      <x:c r="B64" s="10" t="s">
        <x:v>51</x:v>
      </x:c>
      <x:c r="C64" s="10" t="s">
        <x:v>52</x:v>
      </x:c>
      <x:c r="D64" s="10"/>
      <x:c r="E64" s="10" t="s">
        <x:v>720</x:v>
      </x:c>
      <x:c r="F64" s="10" t="s">
        <x:v>721</x:v>
      </x:c>
      <x:c r="G64" s="10" t="s">
        <x:v>722</x:v>
      </x:c>
      <x:c r="H64" s="10" t="s">
        <x:v>723</x:v>
      </x:c>
      <x:c r="I64" s="37" t="n">
        <x:v>1</x:v>
      </x:c>
      <x:c r="J64" s="11"/>
      <x:c r="K64" s="11">
        <x:v>1</x:v>
      </x:c>
      <x:c r="L64" s="12" t="s">
        <x:v>38</x:v>
      </x:c>
      <x:c r="M64" s="13" t="s">
        <x:v>39</x:v>
      </x:c>
      <x:c r="N64" s="9" t="s">
        <x:v>724</x:v>
      </x:c>
      <x:c r="O64" s="10" t="s">
        <x:v>719</x:v>
      </x:c>
      <x:c r="P64" s="10" t="s">
        <x:v>51</x:v>
      </x:c>
      <x:c r="Q64" s="10" t="s">
        <x:v>57</x:v>
      </x:c>
      <x:c r="R64" s="10" t="s">
        <x:v>725</x:v>
      </x:c>
      <x:c r="S64" s="10" t="s">
        <x:v>59</x:v>
      </x:c>
      <x:c r="T64" s="12" t="s">
        <x:v>720</x:v>
      </x:c>
      <x:c r="U64" s="14" t="s">
        <x:v>726</x:v>
      </x:c>
      <x:c r="V64" s="9" t="s">
        <x:v>61</x:v>
      </x:c>
      <x:c r="W64" s="10" t="s">
        <x:v>62</x:v>
      </x:c>
      <x:c r="X64" s="10" t="s">
        <x:v>63</x:v>
      </x:c>
      <x:c r="Y64" s="10" t="s">
        <x:v>64</x:v>
      </x:c>
      <x:c r="Z64" s="10" t="s">
        <x:v>727</x:v>
      </x:c>
      <x:c r="AA64" s="41" t="n">
        <x:v>1</x:v>
      </x:c>
      <x:c r="AB64" s="10" t="s">
        <x:v>728</x:v>
      </x:c>
      <x:c r="AC64" s="12" t="s">
        <x:v>48</x:v>
      </x:c>
      <x:c r="AD64" s="16">
        <x:f t="shared" si="2"/>
        <x:v>7.45</x:v>
      </x:c>
      <x:c r="AE64" s="17"/>
    </x:row>
    <x:row r="65" ht="16.5">
      <x:c r="A65" s="9" t="s">
        <x:v>729</x:v>
      </x:c>
      <x:c r="B65" s="10" t="s">
        <x:v>68</x:v>
      </x:c>
      <x:c r="C65" s="10" t="s">
        <x:v>730</x:v>
      </x:c>
      <x:c r="D65" s="10"/>
      <x:c r="E65" s="10" t="s">
        <x:v>731</x:v>
      </x:c>
      <x:c r="F65" s="10" t="s">
        <x:v>732</x:v>
      </x:c>
      <x:c r="G65" s="10" t="s">
        <x:v>729</x:v>
      </x:c>
      <x:c r="H65" s="10" t="s">
        <x:v>733</x:v>
      </x:c>
      <x:c r="I65" s="37" t="n">
        <x:v>1</x:v>
      </x:c>
      <x:c r="J65" s="11"/>
      <x:c r="K65" s="11">
        <x:v>1</x:v>
      </x:c>
      <x:c r="L65" s="12" t="s">
        <x:v>38</x:v>
      </x:c>
      <x:c r="M65" s="13" t="s">
        <x:v>39</x:v>
      </x:c>
      <x:c r="N65" s="9" t="s">
        <x:v>734</x:v>
      </x:c>
      <x:c r="O65" s="10" t="s">
        <x:v>729</x:v>
      </x:c>
      <x:c r="P65" s="10" t="s">
        <x:v>68</x:v>
      </x:c>
      <x:c r="Q65" s="10" t="s">
        <x:v>735</x:v>
      </x:c>
      <x:c r="R65" s="10" t="s">
        <x:v>736</x:v>
      </x:c>
      <x:c r="S65" s="10" t="s">
        <x:v>166</x:v>
      </x:c>
      <x:c r="T65" s="12" t="s">
        <x:v>731</x:v>
      </x:c>
      <x:c r="U65" s="14" t="s">
        <x:v>737</x:v>
      </x:c>
      <x:c r="V65" s="9" t="s">
        <x:v>61</x:v>
      </x:c>
      <x:c r="W65" s="10" t="s">
        <x:v>62</x:v>
      </x:c>
      <x:c r="X65" s="10" t="s">
        <x:v>93</x:v>
      </x:c>
      <x:c r="Y65" s="10" t="s">
        <x:v>122</x:v>
      </x:c>
      <x:c r="Z65" s="10" t="s">
        <x:v>738</x:v>
      </x:c>
      <x:c r="AA65" s="41" t="n">
        <x:v>1</x:v>
      </x:c>
      <x:c r="AB65" s="10" t="s">
        <x:v>739</x:v>
      </x:c>
      <x:c r="AC65" s="12" t="s">
        <x:v>48</x:v>
      </x:c>
      <x:c r="AD65" s="16">
        <x:f t="shared" si="2"/>
        <x:v>4.97</x:v>
      </x:c>
      <x:c r="AE65" s="17"/>
    </x:row>
    <x:row r="66" ht="16.5">
      <x:c r="A66" s="9" t="s">
        <x:v>740</x:v>
      </x:c>
      <x:c r="B66" s="10" t="s">
        <x:v>68</x:v>
      </x:c>
      <x:c r="C66" s="10" t="s">
        <x:v>730</x:v>
      </x:c>
      <x:c r="D66" s="10"/>
      <x:c r="E66" s="10" t="s">
        <x:v>741</x:v>
      </x:c>
      <x:c r="F66" s="10" t="s">
        <x:v>742</x:v>
      </x:c>
      <x:c r="G66" s="10" t="s">
        <x:v>740</x:v>
      </x:c>
      <x:c r="H66" s="10" t="s">
        <x:v>743</x:v>
      </x:c>
      <x:c r="I66" s="37" t="n">
        <x:v>1</x:v>
      </x:c>
      <x:c r="J66" s="11"/>
      <x:c r="K66" s="11">
        <x:v>1</x:v>
      </x:c>
      <x:c r="L66" s="12" t="s">
        <x:v>38</x:v>
      </x:c>
      <x:c r="M66" s="13" t="s">
        <x:v>39</x:v>
      </x:c>
      <x:c r="N66" s="9" t="s">
        <x:v>744</x:v>
      </x:c>
      <x:c r="O66" s="10" t="s">
        <x:v>740</x:v>
      </x:c>
      <x:c r="P66" s="10" t="s">
        <x:v>68</x:v>
      </x:c>
      <x:c r="Q66" s="10" t="s">
        <x:v>735</x:v>
      </x:c>
      <x:c r="R66" s="10" t="s">
        <x:v>745</x:v>
      </x:c>
      <x:c r="S66" s="10" t="s">
        <x:v>166</x:v>
      </x:c>
      <x:c r="T66" s="12" t="s">
        <x:v>741</x:v>
      </x:c>
      <x:c r="U66" s="14" t="s">
        <x:v>746</x:v>
      </x:c>
      <x:c r="V66" s="9" t="s">
        <x:v>61</x:v>
      </x:c>
      <x:c r="W66" s="10" t="s">
        <x:v>62</x:v>
      </x:c>
      <x:c r="X66" s="10" t="s">
        <x:v>93</x:v>
      </x:c>
      <x:c r="Y66" s="10" t="s">
        <x:v>122</x:v>
      </x:c>
      <x:c r="Z66" s="10" t="s">
        <x:v>747</x:v>
      </x:c>
      <x:c r="AA66" s="41" t="n">
        <x:v>1</x:v>
      </x:c>
      <x:c r="AB66" s="10" t="s">
        <x:v>748</x:v>
      </x:c>
      <x:c r="AC66" s="12" t="s">
        <x:v>48</x:v>
      </x:c>
      <x:c r="AD66" s="16">
        <x:f t="shared" si="2"/>
        <x:v>3.6</x:v>
      </x:c>
      <x:c r="AE66" s="17"/>
    </x:row>
    <x:row r="67" ht="16.5">
      <x:c r="A67" s="9" t="s">
        <x:v>749</x:v>
      </x:c>
      <x:c r="B67" s="10" t="s">
        <x:v>287</x:v>
      </x:c>
      <x:c r="C67" s="10" t="s">
        <x:v>137</x:v>
      </x:c>
      <x:c r="D67" s="10"/>
      <x:c r="E67" s="10" t="s">
        <x:v>750</x:v>
      </x:c>
      <x:c r="F67" s="10" t="s">
        <x:v>751</x:v>
      </x:c>
      <x:c r="G67" s="10" t="s">
        <x:v>752</x:v>
      </x:c>
      <x:c r="H67" s="10" t="s">
        <x:v>753</x:v>
      </x:c>
      <x:c r="I67" s="37" t="n">
        <x:v>1</x:v>
      </x:c>
      <x:c r="J67" s="11"/>
      <x:c r="K67" s="11">
        <x:v>1</x:v>
      </x:c>
      <x:c r="L67" s="12" t="s">
        <x:v>38</x:v>
      </x:c>
      <x:c r="M67" s="13" t="s">
        <x:v>39</x:v>
      </x:c>
      <x:c r="N67" s="9" t="s">
        <x:v>754</x:v>
      </x:c>
      <x:c r="O67" s="10" t="s">
        <x:v>749</x:v>
      </x:c>
      <x:c r="P67" s="10" t="s">
        <x:v>287</x:v>
      </x:c>
      <x:c r="Q67" s="10" t="s">
        <x:v>143</x:v>
      </x:c>
      <x:c r="R67" s="10" t="s">
        <x:v>755</x:v>
      </x:c>
      <x:c r="S67" s="10" t="s">
        <x:v>59</x:v>
      </x:c>
      <x:c r="T67" s="12" t="s">
        <x:v>750</x:v>
      </x:c>
      <x:c r="U67" s="14" t="s">
        <x:v>756</x:v>
      </x:c>
      <x:c r="V67" s="9" t="s">
        <x:v>61</x:v>
      </x:c>
      <x:c r="W67" s="10" t="s">
        <x:v>62</x:v>
      </x:c>
      <x:c r="X67" s="10" t="s">
        <x:v>146</x:v>
      </x:c>
      <x:c r="Y67" s="10" t="s">
        <x:v>94</x:v>
      </x:c>
      <x:c r="Z67" s="10" t="s">
        <x:v>757</x:v>
      </x:c>
      <x:c r="AA67" s="41" t="n">
        <x:v>1</x:v>
      </x:c>
      <x:c r="AB67" s="10" t="s">
        <x:v>758</x:v>
      </x:c>
      <x:c r="AC67" s="12" t="s">
        <x:v>48</x:v>
      </x:c>
      <x:c r="AD67" s="16">
        <x:f t="shared" si="2"/>
        <x:v>4.29</x:v>
      </x:c>
      <x:c r="AE67" s="17"/>
    </x:row>
    <x:row r="68" ht="16.5">
      <x:c r="A68" s="9" t="s">
        <x:v>759</x:v>
      </x:c>
      <x:c r="B68" s="10" t="s">
        <x:v>136</x:v>
      </x:c>
      <x:c r="C68" s="10" t="s">
        <x:v>206</x:v>
      </x:c>
      <x:c r="D68" s="10"/>
      <x:c r="E68" s="10" t="s">
        <x:v>760</x:v>
      </x:c>
      <x:c r="F68" s="10" t="s">
        <x:v>761</x:v>
      </x:c>
      <x:c r="G68" s="10" t="s">
        <x:v>762</x:v>
      </x:c>
      <x:c r="H68" s="10" t="s">
        <x:v>763</x:v>
      </x:c>
      <x:c r="I68" s="37" t="n">
        <x:v>1</x:v>
      </x:c>
      <x:c r="J68" s="11"/>
      <x:c r="K68" s="11">
        <x:v>1</x:v>
      </x:c>
      <x:c r="L68" s="12" t="s">
        <x:v>38</x:v>
      </x:c>
      <x:c r="M68" s="13" t="s">
        <x:v>39</x:v>
      </x:c>
      <x:c r="N68" s="9" t="s">
        <x:v>764</x:v>
      </x:c>
      <x:c r="O68" s="10" t="s">
        <x:v>759</x:v>
      </x:c>
      <x:c r="P68" s="10" t="s">
        <x:v>136</x:v>
      </x:c>
      <x:c r="Q68" s="10" t="s">
        <x:v>143</x:v>
      </x:c>
      <x:c r="R68" s="10" t="s">
        <x:v>765</x:v>
      </x:c>
      <x:c r="S68" s="10" t="s">
        <x:v>91</x:v>
      </x:c>
      <x:c r="T68" s="12" t="s">
        <x:v>760</x:v>
      </x:c>
      <x:c r="U68" s="14" t="s">
        <x:v>766</x:v>
      </x:c>
      <x:c r="V68" s="9" t="s">
        <x:v>61</x:v>
      </x:c>
      <x:c r="W68" s="10" t="s">
        <x:v>62</x:v>
      </x:c>
      <x:c r="X68" s="10" t="s">
        <x:v>188</x:v>
      </x:c>
      <x:c r="Y68" s="10" t="s">
        <x:v>122</x:v>
      </x:c>
      <x:c r="Z68" s="10" t="s">
        <x:v>767</x:v>
      </x:c>
      <x:c r="AA68" s="41" t="n">
        <x:v>1</x:v>
      </x:c>
      <x:c r="AB68" s="10" t="s">
        <x:v>768</x:v>
      </x:c>
      <x:c r="AC68" s="12" t="s">
        <x:v>48</x:v>
      </x:c>
      <x:c r="AD68" s="16">
        <x:f t="shared" si="2"/>
        <x:v>4.3</x:v>
      </x:c>
      <x:c r="AE68" s="17"/>
    </x:row>
    <x:row r="69" ht="16.5">
      <x:c r="A69" s="9" t="s">
        <x:v>769</x:v>
      </x:c>
      <x:c r="B69" s="10" t="s">
        <x:v>192</x:v>
      </x:c>
      <x:c r="C69" s="10" t="s">
        <x:v>83</x:v>
      </x:c>
      <x:c r="D69" s="10"/>
      <x:c r="E69" s="10" t="s">
        <x:v>770</x:v>
      </x:c>
      <x:c r="F69" s="10" t="s">
        <x:v>771</x:v>
      </x:c>
      <x:c r="G69" s="10" t="s">
        <x:v>772</x:v>
      </x:c>
      <x:c r="H69" s="10" t="s">
        <x:v>773</x:v>
      </x:c>
      <x:c r="I69" s="37" t="n">
        <x:v>4</x:v>
      </x:c>
      <x:c r="J69" s="11"/>
      <x:c r="K69" s="11">
        <x:v>1</x:v>
      </x:c>
      <x:c r="L69" s="12" t="s">
        <x:v>38</x:v>
      </x:c>
      <x:c r="M69" s="13" t="s">
        <x:v>39</x:v>
      </x:c>
      <x:c r="N69" s="9" t="s">
        <x:v>774</x:v>
      </x:c>
      <x:c r="O69" s="10" t="s">
        <x:v>769</x:v>
      </x:c>
      <x:c r="P69" s="10" t="s">
        <x:v>192</x:v>
      </x:c>
      <x:c r="Q69" s="10" t="s">
        <x:v>89</x:v>
      </x:c>
      <x:c r="R69" s="10" t="s">
        <x:v>775</x:v>
      </x:c>
      <x:c r="S69" s="10" t="s">
        <x:v>91</x:v>
      </x:c>
      <x:c r="T69" s="12" t="s">
        <x:v>770</x:v>
      </x:c>
      <x:c r="U69" s="14" t="s">
        <x:v>776</x:v>
      </x:c>
      <x:c r="V69" s="9" t="s">
        <x:v>61</x:v>
      </x:c>
      <x:c r="W69" s="10" t="s">
        <x:v>62</x:v>
      </x:c>
      <x:c r="X69" s="10" t="s">
        <x:v>35</x:v>
      </x:c>
      <x:c r="Y69" s="10" t="s">
        <x:v>392</x:v>
      </x:c>
      <x:c r="Z69" s="10" t="s">
        <x:v>409</x:v>
      </x:c>
      <x:c r="AA69" s="18">
        <x:v>4</x:v>
      </x:c>
      <x:c r="AB69" s="10" t="s">
        <x:v>777</x:v>
      </x:c>
      <x:c r="AC69" s="12" t="s">
        <x:v>48</x:v>
      </x:c>
      <x:c r="AD69" s="16">
        <x:f t="shared" si="2"/>
        <x:v>12.88</x:v>
      </x:c>
      <x:c r="AE69" s="39" t="str">
        <x:v>1块板用2颗，备用2颗；购买数量2→4；采购数量2→4；含1块板用量及备件；原行金额保留作参考，新数量须商家重报</x:v>
      </x:c>
    </x:row>
    <x:row r="70" ht="16.5">
      <x:c r="A70" s="9" t="s">
        <x:v>778</x:v>
      </x:c>
      <x:c r="B70" s="10" t="s">
        <x:v>779</x:v>
      </x:c>
      <x:c r="C70" s="10" t="s">
        <x:v>780</x:v>
      </x:c>
      <x:c r="D70" s="10"/>
      <x:c r="E70" s="10" t="s">
        <x:v>781</x:v>
      </x:c>
      <x:c r="F70" s="10" t="s">
        <x:v>782</x:v>
      </x:c>
      <x:c r="G70" s="10" t="s">
        <x:v>783</x:v>
      </x:c>
      <x:c r="H70" s="10" t="s">
        <x:v>784</x:v>
      </x:c>
      <x:c r="I70" s="10" t="s">
        <x:v>35</x:v>
      </x:c>
      <x:c r="J70" s="11"/>
      <x:c r="K70" s="11">
        <x:v>1</x:v>
      </x:c>
      <x:c r="L70" s="12" t="s">
        <x:v>38</x:v>
      </x:c>
      <x:c r="M70" s="13" t="s">
        <x:v>39</x:v>
      </x:c>
      <x:c r="N70" s="9" t="s">
        <x:v>785</x:v>
      </x:c>
      <x:c r="O70" s="10" t="s">
        <x:v>778</x:v>
      </x:c>
      <x:c r="P70" s="10" t="s">
        <x:v>779</x:v>
      </x:c>
      <x:c r="Q70" s="10" t="s">
        <x:v>786</x:v>
      </x:c>
      <x:c r="R70" s="10" t="s">
        <x:v>787</x:v>
      </x:c>
      <x:c r="S70" s="10" t="s">
        <x:v>390</x:v>
      </x:c>
      <x:c r="T70" s="12" t="s">
        <x:v>781</x:v>
      </x:c>
      <x:c r="U70" s="14" t="s">
        <x:v>788</x:v>
      </x:c>
      <x:c r="V70" s="9" t="s">
        <x:v>45</x:v>
      </x:c>
      <x:c r="W70" s="10" t="s">
        <x:v>46</x:v>
      </x:c>
      <x:c r="X70" s="10" t="s">
        <x:v>35</x:v>
      </x:c>
      <x:c r="Y70" s="10" t="s">
        <x:v>493</x:v>
      </x:c>
      <x:c r="Z70" s="10" t="s">
        <x:v>48</x:v>
      </x:c>
      <x:c r="AA70" s="15" t="s">
        <x:v>35</x:v>
      </x:c>
      <x:c r="AB70" s="10" t="s">
        <x:v>789</x:v>
      </x:c>
      <x:c r="AC70" s="12" t="s">
        <x:v>48</x:v>
      </x:c>
      <x:c r="AD70" s="16" t="n">
        <x:f t="shared" ref="AD70:AD87" si="3">ROUND(AA70*AB70,2)</x:f>
        <x:v>15.05</x:v>
      </x:c>
      <x:c r="AE70" s="17"/>
    </x:row>
    <x:row r="71" ht="16.5">
      <x:c r="A71" s="9" t="s">
        <x:v>790</x:v>
      </x:c>
      <x:c r="B71" s="10" t="s">
        <x:v>205</x:v>
      </x:c>
      <x:c r="C71" s="10" t="s">
        <x:v>206</x:v>
      </x:c>
      <x:c r="D71" s="10"/>
      <x:c r="E71" s="10" t="s">
        <x:v>791</x:v>
      </x:c>
      <x:c r="F71" s="10" t="s">
        <x:v>792</x:v>
      </x:c>
      <x:c r="G71" s="10" t="s">
        <x:v>793</x:v>
      </x:c>
      <x:c r="H71" s="10" t="s">
        <x:v>794</x:v>
      </x:c>
      <x:c r="I71" s="37" t="n">
        <x:v>1</x:v>
      </x:c>
      <x:c r="J71" s="11"/>
      <x:c r="K71" s="11">
        <x:v>1</x:v>
      </x:c>
      <x:c r="L71" s="12" t="s">
        <x:v>38</x:v>
      </x:c>
      <x:c r="M71" s="13" t="s">
        <x:v>39</x:v>
      </x:c>
      <x:c r="N71" s="9" t="s">
        <x:v>795</x:v>
      </x:c>
      <x:c r="O71" s="10" t="s">
        <x:v>790</x:v>
      </x:c>
      <x:c r="P71" s="10" t="s">
        <x:v>205</x:v>
      </x:c>
      <x:c r="Q71" s="10" t="s">
        <x:v>143</x:v>
      </x:c>
      <x:c r="R71" s="10" t="s">
        <x:v>796</x:v>
      </x:c>
      <x:c r="S71" s="10" t="s">
        <x:v>91</x:v>
      </x:c>
      <x:c r="T71" s="12" t="s">
        <x:v>791</x:v>
      </x:c>
      <x:c r="U71" s="14" t="s">
        <x:v>797</x:v>
      </x:c>
      <x:c r="V71" s="9" t="s">
        <x:v>61</x:v>
      </x:c>
      <x:c r="W71" s="10" t="s">
        <x:v>62</x:v>
      </x:c>
      <x:c r="X71" s="10" t="s">
        <x:v>121</x:v>
      </x:c>
      <x:c r="Y71" s="10" t="s">
        <x:v>122</x:v>
      </x:c>
      <x:c r="Z71" s="10" t="s">
        <x:v>798</x:v>
      </x:c>
      <x:c r="AA71" s="41" t="n">
        <x:v>1</x:v>
      </x:c>
      <x:c r="AB71" s="10" t="s">
        <x:v>799</x:v>
      </x:c>
      <x:c r="AC71" s="12" t="s">
        <x:v>48</x:v>
      </x:c>
      <x:c r="AD71" s="16">
        <x:f t="shared" si="3"/>
        <x:v>1.66</x:v>
      </x:c>
      <x:c r="AE71" s="17"/>
    </x:row>
    <x:row r="72" ht="16.5">
      <x:c r="A72" s="9" t="s">
        <x:v>800</x:v>
      </x:c>
      <x:c r="B72" s="10" t="s">
        <x:v>801</x:v>
      </x:c>
      <x:c r="C72" s="10" t="s">
        <x:v>137</x:v>
      </x:c>
      <x:c r="D72" s="10"/>
      <x:c r="E72" s="10" t="s">
        <x:v>802</x:v>
      </x:c>
      <x:c r="F72" s="10" t="s">
        <x:v>803</x:v>
      </x:c>
      <x:c r="G72" s="10" t="s">
        <x:v>804</x:v>
      </x:c>
      <x:c r="H72" s="10" t="s">
        <x:v>805</x:v>
      </x:c>
      <x:c r="I72" s="37" t="n">
        <x:v>1</x:v>
      </x:c>
      <x:c r="J72" s="11"/>
      <x:c r="K72" s="11">
        <x:v>1</x:v>
      </x:c>
      <x:c r="L72" s="12" t="s">
        <x:v>38</x:v>
      </x:c>
      <x:c r="M72" s="13" t="s">
        <x:v>39</x:v>
      </x:c>
      <x:c r="N72" s="9" t="s">
        <x:v>806</x:v>
      </x:c>
      <x:c r="O72" s="10" t="s">
        <x:v>800</x:v>
      </x:c>
      <x:c r="P72" s="10" t="s">
        <x:v>801</x:v>
      </x:c>
      <x:c r="Q72" s="10" t="s">
        <x:v>143</x:v>
      </x:c>
      <x:c r="R72" s="10" t="s">
        <x:v>807</x:v>
      </x:c>
      <x:c r="S72" s="10" t="s">
        <x:v>59</x:v>
      </x:c>
      <x:c r="T72" s="12" t="s">
        <x:v>802</x:v>
      </x:c>
      <x:c r="U72" s="14" t="s">
        <x:v>808</x:v>
      </x:c>
      <x:c r="V72" s="9" t="s">
        <x:v>61</x:v>
      </x:c>
      <x:c r="W72" s="10" t="s">
        <x:v>62</x:v>
      </x:c>
      <x:c r="X72" s="10" t="s">
        <x:v>63</x:v>
      </x:c>
      <x:c r="Y72" s="10" t="s">
        <x:v>94</x:v>
      </x:c>
      <x:c r="Z72" s="10" t="s">
        <x:v>809</x:v>
      </x:c>
      <x:c r="AA72" s="41" t="n">
        <x:v>1</x:v>
      </x:c>
      <x:c r="AB72" s="10" t="s">
        <x:v>810</x:v>
      </x:c>
      <x:c r="AC72" s="12" t="s">
        <x:v>48</x:v>
      </x:c>
      <x:c r="AD72" s="16">
        <x:f t="shared" si="3"/>
        <x:v>3.23</x:v>
      </x:c>
      <x:c r="AE72" s="17"/>
    </x:row>
    <x:row r="73" ht="16.5">
      <x:c r="A73" s="9" t="s">
        <x:v>811</x:v>
      </x:c>
      <x:c r="B73" s="10" t="s">
        <x:v>111</x:v>
      </x:c>
      <x:c r="C73" s="10" t="s">
        <x:v>83</x:v>
      </x:c>
      <x:c r="D73" s="10"/>
      <x:c r="E73" s="10" t="s">
        <x:v>812</x:v>
      </x:c>
      <x:c r="F73" s="10" t="s">
        <x:v>813</x:v>
      </x:c>
      <x:c r="G73" s="10" t="s">
        <x:v>814</x:v>
      </x:c>
      <x:c r="H73" s="10" t="s">
        <x:v>815</x:v>
      </x:c>
      <x:c r="I73" s="37" t="n">
        <x:v>1</x:v>
      </x:c>
      <x:c r="J73" s="11"/>
      <x:c r="K73" s="11">
        <x:v>1</x:v>
      </x:c>
      <x:c r="L73" s="12" t="s">
        <x:v>38</x:v>
      </x:c>
      <x:c r="M73" s="13" t="s">
        <x:v>39</x:v>
      </x:c>
      <x:c r="N73" s="9" t="s">
        <x:v>816</x:v>
      </x:c>
      <x:c r="O73" s="10" t="s">
        <x:v>811</x:v>
      </x:c>
      <x:c r="P73" s="10" t="s">
        <x:v>111</x:v>
      </x:c>
      <x:c r="Q73" s="10" t="s">
        <x:v>89</x:v>
      </x:c>
      <x:c r="R73" s="10" t="s">
        <x:v>817</x:v>
      </x:c>
      <x:c r="S73" s="10" t="s">
        <x:v>91</x:v>
      </x:c>
      <x:c r="T73" s="12" t="s">
        <x:v>812</x:v>
      </x:c>
      <x:c r="U73" s="14" t="s">
        <x:v>818</x:v>
      </x:c>
      <x:c r="V73" s="9" t="s">
        <x:v>61</x:v>
      </x:c>
      <x:c r="W73" s="10" t="s">
        <x:v>62</x:v>
      </x:c>
      <x:c r="X73" s="10" t="s">
        <x:v>93</x:v>
      </x:c>
      <x:c r="Y73" s="10" t="s">
        <x:v>94</x:v>
      </x:c>
      <x:c r="Z73" s="10" t="s">
        <x:v>819</x:v>
      </x:c>
      <x:c r="AA73" s="41" t="n">
        <x:v>1</x:v>
      </x:c>
      <x:c r="AB73" s="10" t="s">
        <x:v>820</x:v>
      </x:c>
      <x:c r="AC73" s="12" t="s">
        <x:v>48</x:v>
      </x:c>
      <x:c r="AD73" s="16">
        <x:f t="shared" si="3"/>
        <x:v>3.33</x:v>
      </x:c>
      <x:c r="AE73" s="17"/>
    </x:row>
    <x:row r="74" ht="16.5">
      <x:c r="A74" s="9" t="s">
        <x:v>821</x:v>
      </x:c>
      <x:c r="B74" s="10" t="s">
        <x:v>98</x:v>
      </x:c>
      <x:c r="C74" s="10" t="s">
        <x:v>822</x:v>
      </x:c>
      <x:c r="D74" s="10"/>
      <x:c r="E74" s="10" t="s">
        <x:v>823</x:v>
      </x:c>
      <x:c r="F74" s="10" t="s">
        <x:v>824</x:v>
      </x:c>
      <x:c r="G74" s="10" t="s">
        <x:v>825</x:v>
      </x:c>
      <x:c r="H74" s="10" t="s">
        <x:v>826</x:v>
      </x:c>
      <x:c r="I74" s="37" t="n">
        <x:v>2</x:v>
      </x:c>
      <x:c r="J74" s="11"/>
      <x:c r="K74" s="11">
        <x:v>1</x:v>
      </x:c>
      <x:c r="L74" s="12" t="s">
        <x:v>38</x:v>
      </x:c>
      <x:c r="M74" s="13" t="s">
        <x:v>39</x:v>
      </x:c>
      <x:c r="N74" s="9" t="s">
        <x:v>827</x:v>
      </x:c>
      <x:c r="O74" s="10" t="s">
        <x:v>821</x:v>
      </x:c>
      <x:c r="P74" s="10" t="s">
        <x:v>98</x:v>
      </x:c>
      <x:c r="Q74" s="10" t="s">
        <x:v>828</x:v>
      </x:c>
      <x:c r="R74" s="10" t="s">
        <x:v>829</x:v>
      </x:c>
      <x:c r="S74" s="10" t="s">
        <x:v>59</x:v>
      </x:c>
      <x:c r="T74" s="12" t="s">
        <x:v>823</x:v>
      </x:c>
      <x:c r="U74" s="14" t="s">
        <x:v>830</x:v>
      </x:c>
      <x:c r="V74" s="9" t="s">
        <x:v>61</x:v>
      </x:c>
      <x:c r="W74" s="10" t="s">
        <x:v>62</x:v>
      </x:c>
      <x:c r="X74" s="10" t="s">
        <x:v>35</x:v>
      </x:c>
      <x:c r="Y74" s="10" t="s">
        <x:v>226</x:v>
      </x:c>
      <x:c r="Z74" s="10" t="s">
        <x:v>831</x:v>
      </x:c>
      <x:c r="AA74" s="18">
        <x:v>2</x:v>
      </x:c>
      <x:c r="AB74" s="10" t="s">
        <x:v>832</x:v>
      </x:c>
      <x:c r="AC74" s="12" t="s">
        <x:v>48</x:v>
      </x:c>
      <x:c r="AD74" s="16">
        <x:f t="shared" si="3"/>
        <x:v>7.49</x:v>
      </x:c>
      <x:c r="AE74" s="39" t="str">
        <x:v>1块板用1颗，备用1颗；购买数量1→2；采购数量1→2；含1块板用量及备件；原行金额保留作参考，新数量须商家重报</x:v>
      </x:c>
    </x:row>
    <x:row r="75" ht="16.5">
      <x:c r="A75" s="9" t="s">
        <x:v>833</x:v>
      </x:c>
      <x:c r="B75" s="10" t="s">
        <x:v>834</x:v>
      </x:c>
      <x:c r="C75" s="10" t="s">
        <x:v>835</x:v>
      </x:c>
      <x:c r="D75" s="10"/>
      <x:c r="E75" s="10" t="s">
        <x:v>836</x:v>
      </x:c>
      <x:c r="F75" s="10" t="s">
        <x:v>837</x:v>
      </x:c>
      <x:c r="G75" s="10" t="s">
        <x:v>833</x:v>
      </x:c>
      <x:c r="H75" s="10" t="s">
        <x:v>838</x:v>
      </x:c>
      <x:c r="I75" s="37" t="n">
        <x:v>2</x:v>
      </x:c>
      <x:c r="J75" s="11">
        <x:v>7</x:v>
      </x:c>
      <x:c r="K75" s="42" t="n">
        <x:f>J75*I75</x:f>
        <x:v>14</x:v>
      </x:c>
      <x:c r="L75" s="12" t="s">
        <x:v>38</x:v>
      </x:c>
      <x:c r="M75" s="13" t="s">
        <x:v>39</x:v>
      </x:c>
      <x:c r="N75" s="9" t="s">
        <x:v>839</x:v>
      </x:c>
      <x:c r="O75" s="10" t="s">
        <x:v>833</x:v>
      </x:c>
      <x:c r="P75" s="10" t="s">
        <x:v>834</x:v>
      </x:c>
      <x:c r="Q75" s="10" t="s">
        <x:v>840</x:v>
      </x:c>
      <x:c r="R75" s="10" t="s">
        <x:v>841</x:v>
      </x:c>
      <x:c r="S75" s="10" t="s">
        <x:v>842</x:v>
      </x:c>
      <x:c r="T75" s="12" t="s">
        <x:v>836</x:v>
      </x:c>
      <x:c r="U75" s="14" t="s">
        <x:v>843</x:v>
      </x:c>
      <x:c r="V75" s="9" t="s">
        <x:v>61</x:v>
      </x:c>
      <x:c r="W75" s="10" t="s">
        <x:v>62</x:v>
      </x:c>
      <x:c r="X75" s="10" t="s">
        <x:v>35</x:v>
      </x:c>
      <x:c r="Y75" s="10" t="s">
        <x:v>844</x:v>
      </x:c>
      <x:c r="Z75" s="10" t="s">
        <x:v>845</x:v>
      </x:c>
      <x:c r="AA75" s="18">
        <x:v>2</x:v>
      </x:c>
      <x:c r="AB75" s="10" t="s">
        <x:v>846</x:v>
      </x:c>
      <x:c r="AC75" s="12" t="s">
        <x:v>48</x:v>
      </x:c>
      <x:c r="AD75" s="16">
        <x:f t="shared" si="3"/>
        <x:v>14.18</x:v>
      </x:c>
      <x:c r="AE75" s="39" t="str">
        <x:v>1块板用1颗，备用1颗；购买数量1→2；采购数量1→2；含1块板用量及备件</x:v>
      </x:c>
    </x:row>
    <x:row r="76" ht="16.5">
      <x:c r="A76" s="9" t="s">
        <x:v>847</x:v>
      </x:c>
      <x:c r="B76" s="10" t="s">
        <x:v>136</x:v>
      </x:c>
      <x:c r="C76" s="10" t="s">
        <x:v>206</x:v>
      </x:c>
      <x:c r="D76" s="10"/>
      <x:c r="E76" s="10" t="s">
        <x:v>848</x:v>
      </x:c>
      <x:c r="F76" s="10" t="s">
        <x:v>849</x:v>
      </x:c>
      <x:c r="G76" s="10" t="s">
        <x:v>850</x:v>
      </x:c>
      <x:c r="H76" s="10" t="s">
        <x:v>851</x:v>
      </x:c>
      <x:c r="I76" s="37" t="n">
        <x:v>1</x:v>
      </x:c>
      <x:c r="J76" s="11"/>
      <x:c r="K76" s="11">
        <x:v>1</x:v>
      </x:c>
      <x:c r="L76" s="12" t="s">
        <x:v>38</x:v>
      </x:c>
      <x:c r="M76" s="13" t="s">
        <x:v>39</x:v>
      </x:c>
      <x:c r="N76" s="9" t="s">
        <x:v>852</x:v>
      </x:c>
      <x:c r="O76" s="10" t="s">
        <x:v>847</x:v>
      </x:c>
      <x:c r="P76" s="10" t="s">
        <x:v>136</x:v>
      </x:c>
      <x:c r="Q76" s="10" t="s">
        <x:v>143</x:v>
      </x:c>
      <x:c r="R76" s="10" t="s">
        <x:v>853</x:v>
      </x:c>
      <x:c r="S76" s="10" t="s">
        <x:v>91</x:v>
      </x:c>
      <x:c r="T76" s="12" t="s">
        <x:v>848</x:v>
      </x:c>
      <x:c r="U76" s="14" t="s">
        <x:v>854</x:v>
      </x:c>
      <x:c r="V76" s="9" t="s">
        <x:v>61</x:v>
      </x:c>
      <x:c r="W76" s="10" t="s">
        <x:v>62</x:v>
      </x:c>
      <x:c r="X76" s="10" t="s">
        <x:v>93</x:v>
      </x:c>
      <x:c r="Y76" s="10" t="s">
        <x:v>122</x:v>
      </x:c>
      <x:c r="Z76" s="10" t="s">
        <x:v>855</x:v>
      </x:c>
      <x:c r="AA76" s="41" t="n">
        <x:v>1</x:v>
      </x:c>
      <x:c r="AB76" s="10" t="s">
        <x:v>856</x:v>
      </x:c>
      <x:c r="AC76" s="12" t="s">
        <x:v>48</x:v>
      </x:c>
      <x:c r="AD76" s="16">
        <x:f t="shared" si="3"/>
        <x:v>2.89</x:v>
      </x:c>
      <x:c r="AE76" s="17"/>
    </x:row>
    <x:row r="77" ht="16.5">
      <x:c r="A77" s="9" t="s">
        <x:v>857</x:v>
      </x:c>
      <x:c r="B77" s="10" t="s">
        <x:v>192</x:v>
      </x:c>
      <x:c r="C77" s="10" t="s">
        <x:v>858</x:v>
      </x:c>
      <x:c r="D77" s="10"/>
      <x:c r="E77" s="10" t="s">
        <x:v>859</x:v>
      </x:c>
      <x:c r="F77" s="10" t="s">
        <x:v>860</x:v>
      </x:c>
      <x:c r="G77" s="10" t="s">
        <x:v>857</x:v>
      </x:c>
      <x:c r="H77" s="10" t="s">
        <x:v>861</x:v>
      </x:c>
      <x:c r="I77" s="37" t="n">
        <x:v>1</x:v>
      </x:c>
      <x:c r="J77" s="11"/>
      <x:c r="K77" s="11">
        <x:v>1</x:v>
      </x:c>
      <x:c r="L77" s="12" t="s">
        <x:v>38</x:v>
      </x:c>
      <x:c r="M77" s="13" t="s">
        <x:v>39</x:v>
      </x:c>
      <x:c r="N77" s="9" t="s">
        <x:v>862</x:v>
      </x:c>
      <x:c r="O77" s="10" t="s">
        <x:v>857</x:v>
      </x:c>
      <x:c r="P77" s="10" t="s">
        <x:v>192</x:v>
      </x:c>
      <x:c r="Q77" s="10" t="s">
        <x:v>863</x:v>
      </x:c>
      <x:c r="R77" s="10" t="s">
        <x:v>864</x:v>
      </x:c>
      <x:c r="S77" s="10" t="s">
        <x:v>166</x:v>
      </x:c>
      <x:c r="T77" s="12" t="s">
        <x:v>859</x:v>
      </x:c>
      <x:c r="U77" s="14" t="s">
        <x:v>865</x:v>
      </x:c>
      <x:c r="V77" s="9" t="s">
        <x:v>61</x:v>
      </x:c>
      <x:c r="W77" s="10" t="s">
        <x:v>62</x:v>
      </x:c>
      <x:c r="X77" s="10" t="s">
        <x:v>93</x:v>
      </x:c>
      <x:c r="Y77" s="10" t="s">
        <x:v>78</x:v>
      </x:c>
      <x:c r="Z77" s="10" t="s">
        <x:v>866</x:v>
      </x:c>
      <x:c r="AA77" s="41" t="n">
        <x:v>1</x:v>
      </x:c>
      <x:c r="AB77" s="10" t="s">
        <x:v>867</x:v>
      </x:c>
      <x:c r="AC77" s="12" t="s">
        <x:v>48</x:v>
      </x:c>
      <x:c r="AD77" s="16">
        <x:f t="shared" si="3"/>
        <x:v>3.62</x:v>
      </x:c>
      <x:c r="AE77" s="17"/>
    </x:row>
    <x:row r="78" ht="16.5">
      <x:c r="A78" s="9" t="s">
        <x:v>868</x:v>
      </x:c>
      <x:c r="B78" s="10" t="s">
        <x:v>869</x:v>
      </x:c>
      <x:c r="C78" s="10" t="s">
        <x:v>870</x:v>
      </x:c>
      <x:c r="D78" s="10"/>
      <x:c r="E78" s="10" t="s">
        <x:v>871</x:v>
      </x:c>
      <x:c r="F78" s="10" t="s">
        <x:v>872</x:v>
      </x:c>
      <x:c r="G78" s="10" t="s">
        <x:v>868</x:v>
      </x:c>
      <x:c r="H78" s="10" t="s">
        <x:v>873</x:v>
      </x:c>
      <x:c r="I78" s="37" t="n">
        <x:v>1</x:v>
      </x:c>
      <x:c r="J78" s="11"/>
      <x:c r="K78" s="11">
        <x:v>1</x:v>
      </x:c>
      <x:c r="L78" s="12" t="s">
        <x:v>38</x:v>
      </x:c>
      <x:c r="M78" s="13" t="s">
        <x:v>39</x:v>
      </x:c>
      <x:c r="N78" s="9" t="s">
        <x:v>874</x:v>
      </x:c>
      <x:c r="O78" s="10" t="s">
        <x:v>868</x:v>
      </x:c>
      <x:c r="P78" s="10" t="s">
        <x:v>869</x:v>
      </x:c>
      <x:c r="Q78" s="10" t="s">
        <x:v>875</x:v>
      </x:c>
      <x:c r="R78" s="10" t="s">
        <x:v>876</x:v>
      </x:c>
      <x:c r="S78" s="10" t="s">
        <x:v>508</x:v>
      </x:c>
      <x:c r="T78" s="12" t="s">
        <x:v>871</x:v>
      </x:c>
      <x:c r="U78" s="14" t="s">
        <x:v>877</x:v>
      </x:c>
      <x:c r="V78" s="9" t="s">
        <x:v>61</x:v>
      </x:c>
      <x:c r="W78" s="10" t="s">
        <x:v>62</x:v>
      </x:c>
      <x:c r="X78" s="10" t="s">
        <x:v>63</x:v>
      </x:c>
      <x:c r="Y78" s="10" t="s">
        <x:v>64</x:v>
      </x:c>
      <x:c r="Z78" s="10" t="s">
        <x:v>878</x:v>
      </x:c>
      <x:c r="AA78" s="41" t="n">
        <x:v>1</x:v>
      </x:c>
      <x:c r="AB78" s="10" t="s">
        <x:v>879</x:v>
      </x:c>
      <x:c r="AC78" s="12" t="s">
        <x:v>48</x:v>
      </x:c>
      <x:c r="AD78" s="16">
        <x:f t="shared" si="3"/>
        <x:v>2.78</x:v>
      </x:c>
      <x:c r="AE78" s="17"/>
    </x:row>
    <x:row r="79" ht="16.5">
      <x:c r="A79" s="9" t="s">
        <x:v>880</x:v>
      </x:c>
      <x:c r="B79" s="10" t="s">
        <x:v>111</x:v>
      </x:c>
      <x:c r="C79" s="10" t="s">
        <x:v>881</x:v>
      </x:c>
      <x:c r="D79" s="10"/>
      <x:c r="E79" s="10" t="s">
        <x:v>882</x:v>
      </x:c>
      <x:c r="F79" s="10" t="s">
        <x:v>883</x:v>
      </x:c>
      <x:c r="G79" s="10" t="s">
        <x:v>641</x:v>
      </x:c>
      <x:c r="H79" s="10" t="s">
        <x:v>884</x:v>
      </x:c>
      <x:c r="I79" s="37" t="n">
        <x:v>4</x:v>
      </x:c>
      <x:c r="J79" s="11"/>
      <x:c r="K79" s="11">
        <x:v>1</x:v>
      </x:c>
      <x:c r="L79" s="12" t="s">
        <x:v>38</x:v>
      </x:c>
      <x:c r="M79" s="13" t="s">
        <x:v>39</x:v>
      </x:c>
      <x:c r="N79" s="9" t="s">
        <x:v>885</x:v>
      </x:c>
      <x:c r="O79" s="10" t="s">
        <x:v>880</x:v>
      </x:c>
      <x:c r="P79" s="10" t="s">
        <x:v>111</x:v>
      </x:c>
      <x:c r="Q79" s="10" t="s">
        <x:v>118</x:v>
      </x:c>
      <x:c r="R79" s="10" t="s">
        <x:v>886</x:v>
      </x:c>
      <x:c r="S79" s="10" t="s">
        <x:v>91</x:v>
      </x:c>
      <x:c r="T79" s="12" t="s">
        <x:v>882</x:v>
      </x:c>
      <x:c r="U79" s="14" t="s">
        <x:v>887</x:v>
      </x:c>
      <x:c r="V79" s="9" t="s">
        <x:v>61</x:v>
      </x:c>
      <x:c r="W79" s="10" t="s">
        <x:v>62</x:v>
      </x:c>
      <x:c r="X79" s="10" t="s">
        <x:v>121</x:v>
      </x:c>
      <x:c r="Y79" s="10" t="s">
        <x:v>122</x:v>
      </x:c>
      <x:c r="Z79" s="10" t="s">
        <x:v>888</x:v>
      </x:c>
      <x:c r="AA79" s="41" t="n">
        <x:v>4</x:v>
      </x:c>
      <x:c r="AB79" s="10" t="s">
        <x:v>889</x:v>
      </x:c>
      <x:c r="AC79" s="12" t="s">
        <x:v>48</x:v>
      </x:c>
      <x:c r="AD79" s="16">
        <x:f t="shared" si="3"/>
        <x:v>2.61</x:v>
      </x:c>
      <x:c r="AE79" s="17"/>
    </x:row>
    <x:row r="80" ht="16.5">
      <x:c r="A80" s="9" t="s">
        <x:v>890</x:v>
      </x:c>
      <x:c r="B80" s="10" t="s">
        <x:v>51</x:v>
      </x:c>
      <x:c r="C80" s="10" t="s">
        <x:v>52</x:v>
      </x:c>
      <x:c r="D80" s="10"/>
      <x:c r="E80" s="10" t="s">
        <x:v>891</x:v>
      </x:c>
      <x:c r="F80" s="10" t="s">
        <x:v>892</x:v>
      </x:c>
      <x:c r="G80" s="10" t="s">
        <x:v>441</x:v>
      </x:c>
      <x:c r="H80" s="10" t="s">
        <x:v>893</x:v>
      </x:c>
      <x:c r="I80" s="37" t="n">
        <x:v>7</x:v>
      </x:c>
      <x:c r="J80" s="11"/>
      <x:c r="K80" s="11">
        <x:v>1</x:v>
      </x:c>
      <x:c r="L80" s="12" t="s">
        <x:v>38</x:v>
      </x:c>
      <x:c r="M80" s="13" t="s">
        <x:v>39</x:v>
      </x:c>
      <x:c r="N80" s="9" t="s">
        <x:v>894</x:v>
      </x:c>
      <x:c r="O80" s="10" t="s">
        <x:v>890</x:v>
      </x:c>
      <x:c r="P80" s="10" t="s">
        <x:v>51</x:v>
      </x:c>
      <x:c r="Q80" s="10" t="s">
        <x:v>57</x:v>
      </x:c>
      <x:c r="R80" s="10" t="s">
        <x:v>895</x:v>
      </x:c>
      <x:c r="S80" s="10" t="s">
        <x:v>59</x:v>
      </x:c>
      <x:c r="T80" s="12" t="s">
        <x:v>891</x:v>
      </x:c>
      <x:c r="U80" s="14" t="s">
        <x:v>896</x:v>
      </x:c>
      <x:c r="V80" s="9" t="s">
        <x:v>61</x:v>
      </x:c>
      <x:c r="W80" s="10" t="s">
        <x:v>62</x:v>
      </x:c>
      <x:c r="X80" s="10" t="s">
        <x:v>93</x:v>
      </x:c>
      <x:c r="Y80" s="10" t="s">
        <x:v>64</x:v>
      </x:c>
      <x:c r="Z80" s="10" t="s">
        <x:v>897</x:v>
      </x:c>
      <x:c r="AA80" s="41" t="n">
        <x:v>7</x:v>
      </x:c>
      <x:c r="AB80" s="10" t="s">
        <x:v>898</x:v>
      </x:c>
      <x:c r="AC80" s="12" t="s">
        <x:v>48</x:v>
      </x:c>
      <x:c r="AD80" s="16">
        <x:f t="shared" si="3"/>
        <x:v>4.97</x:v>
      </x:c>
      <x:c r="AE80" s="17"/>
    </x:row>
    <x:row r="81" ht="16.5">
      <x:c r="A81" s="9" t="s">
        <x:v>899</x:v>
      </x:c>
      <x:c r="B81" s="10" t="s">
        <x:v>242</x:v>
      </x:c>
      <x:c r="C81" s="10" t="s">
        <x:v>900</x:v>
      </x:c>
      <x:c r="D81" s="10"/>
      <x:c r="E81" s="10" t="s">
        <x:v>901</x:v>
      </x:c>
      <x:c r="F81" s="10" t="s">
        <x:v>902</x:v>
      </x:c>
      <x:c r="G81" s="10" t="s">
        <x:v>899</x:v>
      </x:c>
      <x:c r="H81" s="10" t="s">
        <x:v>903</x:v>
      </x:c>
      <x:c r="I81" s="37" t="n">
        <x:v>6</x:v>
      </x:c>
      <x:c r="J81" s="11">
        <x:v>10</x:v>
      </x:c>
      <x:c r="K81" s="42" t="n">
        <x:f>J81*I81</x:f>
        <x:v>60</x:v>
      </x:c>
      <x:c r="L81" s="12" t="s">
        <x:v>38</x:v>
      </x:c>
      <x:c r="M81" s="13" t="s">
        <x:v>39</x:v>
      </x:c>
      <x:c r="N81" s="9" t="s">
        <x:v>904</x:v>
      </x:c>
      <x:c r="O81" s="10" t="s">
        <x:v>899</x:v>
      </x:c>
      <x:c r="P81" s="10" t="s">
        <x:v>242</x:v>
      </x:c>
      <x:c r="Q81" s="10" t="s">
        <x:v>905</x:v>
      </x:c>
      <x:c r="R81" s="10" t="s">
        <x:v>906</x:v>
      </x:c>
      <x:c r="S81" s="10" t="s">
        <x:v>76</x:v>
      </x:c>
      <x:c r="T81" s="12" t="s">
        <x:v>901</x:v>
      </x:c>
      <x:c r="U81" s="14" t="s">
        <x:v>907</x:v>
      </x:c>
      <x:c r="V81" s="9" t="s">
        <x:v>61</x:v>
      </x:c>
      <x:c r="W81" s="10" t="s">
        <x:v>62</x:v>
      </x:c>
      <x:c r="X81" s="10" t="s">
        <x:v>35</x:v>
      </x:c>
      <x:c r="Y81" s="10" t="s">
        <x:v>122</x:v>
      </x:c>
      <x:c r="Z81" s="10" t="s">
        <x:v>908</x:v>
      </x:c>
      <x:c r="AA81" s="18">
        <x:v>6</x:v>
      </x:c>
      <x:c r="AB81" s="10" t="s">
        <x:v>909</x:v>
      </x:c>
      <x:c r="AC81" s="12" t="s">
        <x:v>48</x:v>
      </x:c>
      <x:c r="AD81" s="16">
        <x:f t="shared" si="3"/>
        <x:v>68.58</x:v>
      </x:c>
      <x:c r="AE81" s="39" t="str">
        <x:v>1块板用2颗，备用4颗；购买数量2→6；采购数量2→6；含1块板用量及备件</x:v>
      </x:c>
    </x:row>
    <x:row r="82" ht="16.5">
      <x:c r="A82" s="9" t="s">
        <x:v>910</x:v>
      </x:c>
      <x:c r="B82" s="10" t="s">
        <x:v>242</x:v>
      </x:c>
      <x:c r="C82" s="10" t="s">
        <x:v>911</x:v>
      </x:c>
      <x:c r="D82" s="10"/>
      <x:c r="E82" s="10" t="s">
        <x:v>912</x:v>
      </x:c>
      <x:c r="F82" s="10" t="s">
        <x:v>913</x:v>
      </x:c>
      <x:c r="G82" s="10" t="s">
        <x:v>910</x:v>
      </x:c>
      <x:c r="H82" s="10" t="s">
        <x:v>914</x:v>
      </x:c>
      <x:c r="I82" s="37" t="n">
        <x:v>6</x:v>
      </x:c>
      <x:c r="J82" s="11">
        <x:v>14</x:v>
      </x:c>
      <x:c r="K82" s="42" t="n">
        <x:f>J82*I82</x:f>
        <x:v>84</x:v>
      </x:c>
      <x:c r="L82" s="12" t="s">
        <x:v>38</x:v>
      </x:c>
      <x:c r="M82" s="13" t="s">
        <x:v>39</x:v>
      </x:c>
      <x:c r="N82" s="9" t="s">
        <x:v>915</x:v>
      </x:c>
      <x:c r="O82" s="10" t="s">
        <x:v>910</x:v>
      </x:c>
      <x:c r="P82" s="10" t="s">
        <x:v>242</x:v>
      </x:c>
      <x:c r="Q82" s="10" t="s">
        <x:v>905</x:v>
      </x:c>
      <x:c r="R82" s="10" t="s">
        <x:v>916</x:v>
      </x:c>
      <x:c r="S82" s="10" t="s">
        <x:v>76</x:v>
      </x:c>
      <x:c r="T82" s="12" t="s">
        <x:v>912</x:v>
      </x:c>
      <x:c r="U82" s="14" t="s">
        <x:v>917</x:v>
      </x:c>
      <x:c r="V82" s="9" t="s">
        <x:v>61</x:v>
      </x:c>
      <x:c r="W82" s="10" t="s">
        <x:v>62</x:v>
      </x:c>
      <x:c r="X82" s="10" t="s">
        <x:v>35</x:v>
      </x:c>
      <x:c r="Y82" s="10" t="s">
        <x:v>122</x:v>
      </x:c>
      <x:c r="Z82" s="10" t="s">
        <x:v>37</x:v>
      </x:c>
      <x:c r="AA82" s="18">
        <x:v>6</x:v>
      </x:c>
      <x:c r="AB82" s="10" t="s">
        <x:v>918</x:v>
      </x:c>
      <x:c r="AC82" s="12" t="s">
        <x:v>48</x:v>
      </x:c>
      <x:c r="AD82" s="16">
        <x:f t="shared" si="3"/>
        <x:v>92.52</x:v>
      </x:c>
      <x:c r="AE82" s="39" t="str">
        <x:v>1块板用2颗，备用4颗；购买数量2→6；采购数量2→6；含1块板用量及备件</x:v>
      </x:c>
    </x:row>
    <x:row r="83" ht="16.5">
      <x:c r="A83" s="9" t="s">
        <x:v>919</x:v>
      </x:c>
      <x:c r="B83" s="10" t="s">
        <x:v>136</x:v>
      </x:c>
      <x:c r="C83" s="10" t="s">
        <x:v>206</x:v>
      </x:c>
      <x:c r="D83" s="10"/>
      <x:c r="E83" s="10" t="s">
        <x:v>920</x:v>
      </x:c>
      <x:c r="F83" s="10" t="s">
        <x:v>921</x:v>
      </x:c>
      <x:c r="G83" s="10" t="s">
        <x:v>115</x:v>
      </x:c>
      <x:c r="H83" s="10" t="s">
        <x:v>922</x:v>
      </x:c>
      <x:c r="I83" s="37" t="n">
        <x:v>1</x:v>
      </x:c>
      <x:c r="J83" s="11"/>
      <x:c r="K83" s="11">
        <x:v>1</x:v>
      </x:c>
      <x:c r="L83" s="12" t="s">
        <x:v>38</x:v>
      </x:c>
      <x:c r="M83" s="13" t="s">
        <x:v>39</x:v>
      </x:c>
      <x:c r="N83" s="9" t="s">
        <x:v>923</x:v>
      </x:c>
      <x:c r="O83" s="10" t="s">
        <x:v>919</x:v>
      </x:c>
      <x:c r="P83" s="10" t="s">
        <x:v>136</x:v>
      </x:c>
      <x:c r="Q83" s="10" t="s">
        <x:v>143</x:v>
      </x:c>
      <x:c r="R83" s="10" t="s">
        <x:v>924</x:v>
      </x:c>
      <x:c r="S83" s="10" t="s">
        <x:v>91</x:v>
      </x:c>
      <x:c r="T83" s="12" t="s">
        <x:v>920</x:v>
      </x:c>
      <x:c r="U83" s="14" t="s">
        <x:v>925</x:v>
      </x:c>
      <x:c r="V83" s="9" t="s">
        <x:v>61</x:v>
      </x:c>
      <x:c r="W83" s="10" t="s">
        <x:v>62</x:v>
      </x:c>
      <x:c r="X83" s="10" t="s">
        <x:v>188</x:v>
      </x:c>
      <x:c r="Y83" s="10" t="s">
        <x:v>122</x:v>
      </x:c>
      <x:c r="Z83" s="10" t="s">
        <x:v>926</x:v>
      </x:c>
      <x:c r="AA83" s="41" t="n">
        <x:v>1</x:v>
      </x:c>
      <x:c r="AB83" s="10" t="s">
        <x:v>927</x:v>
      </x:c>
      <x:c r="AC83" s="12" t="s">
        <x:v>48</x:v>
      </x:c>
      <x:c r="AD83" s="16">
        <x:f t="shared" si="3"/>
        <x:v>3.58</x:v>
      </x:c>
      <x:c r="AE83" s="17"/>
    </x:row>
    <x:row r="84" ht="16.5">
      <x:c r="A84" s="9" t="s">
        <x:v>928</x:v>
      </x:c>
      <x:c r="B84" s="10" t="s">
        <x:v>428</x:v>
      </x:c>
      <x:c r="C84" s="10" t="s">
        <x:v>137</x:v>
      </x:c>
      <x:c r="D84" s="10"/>
      <x:c r="E84" s="10" t="s">
        <x:v>929</x:v>
      </x:c>
      <x:c r="F84" s="10" t="s">
        <x:v>930</x:v>
      </x:c>
      <x:c r="G84" s="10" t="s">
        <x:v>722</x:v>
      </x:c>
      <x:c r="H84" s="10" t="s">
        <x:v>931</x:v>
      </x:c>
      <x:c r="I84" s="37" t="n">
        <x:v>1</x:v>
      </x:c>
      <x:c r="J84" s="11"/>
      <x:c r="K84" s="11">
        <x:v>1</x:v>
      </x:c>
      <x:c r="L84" s="12" t="s">
        <x:v>38</x:v>
      </x:c>
      <x:c r="M84" s="13" t="s">
        <x:v>39</x:v>
      </x:c>
      <x:c r="N84" s="9" t="s">
        <x:v>932</x:v>
      </x:c>
      <x:c r="O84" s="10" t="s">
        <x:v>928</x:v>
      </x:c>
      <x:c r="P84" s="10" t="s">
        <x:v>428</x:v>
      </x:c>
      <x:c r="Q84" s="10" t="s">
        <x:v>143</x:v>
      </x:c>
      <x:c r="R84" s="10" t="s">
        <x:v>933</x:v>
      </x:c>
      <x:c r="S84" s="10" t="s">
        <x:v>59</x:v>
      </x:c>
      <x:c r="T84" s="12" t="s">
        <x:v>929</x:v>
      </x:c>
      <x:c r="U84" s="14" t="s">
        <x:v>934</x:v>
      </x:c>
      <x:c r="V84" s="9" t="s">
        <x:v>61</x:v>
      </x:c>
      <x:c r="W84" s="10" t="s">
        <x:v>62</x:v>
      </x:c>
      <x:c r="X84" s="10" t="s">
        <x:v>188</x:v>
      </x:c>
      <x:c r="Y84" s="10" t="s">
        <x:v>94</x:v>
      </x:c>
      <x:c r="Z84" s="10" t="s">
        <x:v>935</x:v>
      </x:c>
      <x:c r="AA84" s="41" t="n">
        <x:v>1</x:v>
      </x:c>
      <x:c r="AB84" s="10" t="s">
        <x:v>936</x:v>
      </x:c>
      <x:c r="AC84" s="12" t="s">
        <x:v>48</x:v>
      </x:c>
      <x:c r="AD84" s="16">
        <x:f t="shared" si="3"/>
        <x:v>2.68</x:v>
      </x:c>
      <x:c r="AE84" s="17"/>
    </x:row>
    <x:row r="85" ht="16.5">
      <x:c r="A85" s="9" t="s">
        <x:v>937</x:v>
      </x:c>
      <x:c r="B85" s="10" t="s">
        <x:v>205</x:v>
      </x:c>
      <x:c r="C85" s="10" t="s">
        <x:v>137</x:v>
      </x:c>
      <x:c r="D85" s="10"/>
      <x:c r="E85" s="10" t="s">
        <x:v>938</x:v>
      </x:c>
      <x:c r="F85" s="10" t="s">
        <x:v>939</x:v>
      </x:c>
      <x:c r="G85" s="10" t="s">
        <x:v>804</x:v>
      </x:c>
      <x:c r="H85" s="10" t="s">
        <x:v>940</x:v>
      </x:c>
      <x:c r="I85" s="37" t="n">
        <x:v>1</x:v>
      </x:c>
      <x:c r="J85" s="11"/>
      <x:c r="K85" s="11">
        <x:v>1</x:v>
      </x:c>
      <x:c r="L85" s="12" t="s">
        <x:v>38</x:v>
      </x:c>
      <x:c r="M85" s="13" t="s">
        <x:v>39</x:v>
      </x:c>
      <x:c r="N85" s="9" t="s">
        <x:v>941</x:v>
      </x:c>
      <x:c r="O85" s="10" t="s">
        <x:v>937</x:v>
      </x:c>
      <x:c r="P85" s="10" t="s">
        <x:v>205</x:v>
      </x:c>
      <x:c r="Q85" s="10" t="s">
        <x:v>143</x:v>
      </x:c>
      <x:c r="R85" s="10" t="s">
        <x:v>942</x:v>
      </x:c>
      <x:c r="S85" s="10" t="s">
        <x:v>59</x:v>
      </x:c>
      <x:c r="T85" s="12" t="s">
        <x:v>938</x:v>
      </x:c>
      <x:c r="U85" s="14" t="s">
        <x:v>943</x:v>
      </x:c>
      <x:c r="V85" s="9" t="s">
        <x:v>61</x:v>
      </x:c>
      <x:c r="W85" s="10" t="s">
        <x:v>62</x:v>
      </x:c>
      <x:c r="X85" s="10" t="s">
        <x:v>121</x:v>
      </x:c>
      <x:c r="Y85" s="10" t="s">
        <x:v>94</x:v>
      </x:c>
      <x:c r="Z85" s="10" t="s">
        <x:v>944</x:v>
      </x:c>
      <x:c r="AA85" s="41" t="n">
        <x:v>1</x:v>
      </x:c>
      <x:c r="AB85" s="10" t="s">
        <x:v>945</x:v>
      </x:c>
      <x:c r="AC85" s="12" t="s">
        <x:v>48</x:v>
      </x:c>
      <x:c r="AD85" s="16">
        <x:f t="shared" si="3"/>
        <x:v>3.92</x:v>
      </x:c>
      <x:c r="AE85" s="17"/>
    </x:row>
    <x:row r="86" ht="16.5">
      <x:c r="A86" s="9" t="s">
        <x:v>946</x:v>
      </x:c>
      <x:c r="B86" s="10" t="s">
        <x:v>192</x:v>
      </x:c>
      <x:c r="C86" s="10" t="s">
        <x:v>947</x:v>
      </x:c>
      <x:c r="D86" s="10"/>
      <x:c r="E86" s="10" t="s">
        <x:v>948</x:v>
      </x:c>
      <x:c r="F86" s="10" t="s">
        <x:v>949</x:v>
      </x:c>
      <x:c r="G86" s="10" t="s">
        <x:v>641</x:v>
      </x:c>
      <x:c r="H86" s="10" t="s">
        <x:v>950</x:v>
      </x:c>
      <x:c r="I86" s="37" t="n">
        <x:v>10</x:v>
      </x:c>
      <x:c r="J86" s="11"/>
      <x:c r="K86" s="11">
        <x:v>1</x:v>
      </x:c>
      <x:c r="L86" s="12" t="s">
        <x:v>38</x:v>
      </x:c>
      <x:c r="M86" s="13" t="s">
        <x:v>39</x:v>
      </x:c>
      <x:c r="N86" s="9" t="s">
        <x:v>951</x:v>
      </x:c>
      <x:c r="O86" s="10" t="s">
        <x:v>946</x:v>
      </x:c>
      <x:c r="P86" s="10" t="s">
        <x:v>192</x:v>
      </x:c>
      <x:c r="Q86" s="10" t="s">
        <x:v>952</x:v>
      </x:c>
      <x:c r="R86" s="10" t="s">
        <x:v>953</x:v>
      </x:c>
      <x:c r="S86" s="10" t="s">
        <x:v>91</x:v>
      </x:c>
      <x:c r="T86" s="12" t="s">
        <x:v>948</x:v>
      </x:c>
      <x:c r="U86" s="14" t="s">
        <x:v>954</x:v>
      </x:c>
      <x:c r="V86" s="9" t="s">
        <x:v>61</x:v>
      </x:c>
      <x:c r="W86" s="10" t="s">
        <x:v>62</x:v>
      </x:c>
      <x:c r="X86" s="10" t="s">
        <x:v>63</x:v>
      </x:c>
      <x:c r="Y86" s="10" t="s">
        <x:v>844</x:v>
      </x:c>
      <x:c r="Z86" s="10" t="s">
        <x:v>955</x:v>
      </x:c>
      <x:c r="AA86" s="18">
        <x:v>10</x:v>
      </x:c>
      <x:c r="AB86" s="10" t="s">
        <x:v>956</x:v>
      </x:c>
      <x:c r="AC86" s="12" t="s">
        <x:v>48</x:v>
      </x:c>
      <x:c r="AD86" s="16">
        <x:f t="shared" si="3"/>
        <x:v>8.56</x:v>
      </x:c>
      <x:c r="AE86" s="39" t="str">
        <x:v>1块板用2颗，备用8颗；购买数量5→10；采购数量2→10；含1块板用量及备件；原行金额保留作参考，新数量须商家重报</x:v>
      </x:c>
    </x:row>
    <x:row r="87" ht="16.5">
      <x:c r="A87" s="9" t="s">
        <x:v>957</x:v>
      </x:c>
      <x:c r="B87" s="10" t="s">
        <x:v>136</x:v>
      </x:c>
      <x:c r="C87" s="10" t="s">
        <x:v>958</x:v>
      </x:c>
      <x:c r="D87" s="10"/>
      <x:c r="E87" s="10" t="s">
        <x:v>959</x:v>
      </x:c>
      <x:c r="F87" s="10" t="s">
        <x:v>960</x:v>
      </x:c>
      <x:c r="G87" s="10" t="s">
        <x:v>961</x:v>
      </x:c>
      <x:c r="H87" s="10" t="s">
        <x:v>962</x:v>
      </x:c>
      <x:c r="I87" s="37" t="n">
        <x:v>2</x:v>
      </x:c>
      <x:c r="J87" s="11"/>
      <x:c r="K87" s="11">
        <x:v>1</x:v>
      </x:c>
      <x:c r="L87" s="12" t="s">
        <x:v>38</x:v>
      </x:c>
      <x:c r="M87" s="13" t="s">
        <x:v>39</x:v>
      </x:c>
      <x:c r="N87" s="9" t="s">
        <x:v>963</x:v>
      </x:c>
      <x:c r="O87" s="10" t="s">
        <x:v>957</x:v>
      </x:c>
      <x:c r="P87" s="10" t="s">
        <x:v>136</x:v>
      </x:c>
      <x:c r="Q87" s="10" t="s">
        <x:v>964</x:v>
      </x:c>
      <x:c r="R87" s="10" t="s">
        <x:v>965</x:v>
      </x:c>
      <x:c r="S87" s="10" t="s">
        <x:v>59</x:v>
      </x:c>
      <x:c r="T87" s="12" t="s">
        <x:v>959</x:v>
      </x:c>
      <x:c r="U87" s="14" t="s">
        <x:v>966</x:v>
      </x:c>
      <x:c r="V87" s="9" t="s">
        <x:v>61</x:v>
      </x:c>
      <x:c r="W87" s="10" t="s">
        <x:v>62</x:v>
      </x:c>
      <x:c r="X87" s="10" t="s">
        <x:v>188</x:v>
      </x:c>
      <x:c r="Y87" s="10" t="s">
        <x:v>78</x:v>
      </x:c>
      <x:c r="Z87" s="10" t="s">
        <x:v>967</x:v>
      </x:c>
      <x:c r="AA87" s="41" t="n">
        <x:v>2</x:v>
      </x:c>
      <x:c r="AB87" s="10" t="s">
        <x:v>968</x:v>
      </x:c>
      <x:c r="AC87" s="12" t="s">
        <x:v>48</x:v>
      </x:c>
      <x:c r="AD87" s="16">
        <x:f t="shared" si="3"/>
        <x:v>5.08</x:v>
      </x:c>
      <x:c r="AE87" s="17"/>
    </x:row>
    <x:row r="88" ht="66">
      <x:c r="A88" s="25"/>
      <x:c r="B88" s="39" t="str">
        <x:v>VISHAY(威世)</x:v>
      </x:c>
      <x:c r="C88" s="26" t="s">
        <x:v>952</x:v>
      </x:c>
      <x:c r="D88" s="25" t="s">
        <x:v>969</x:v>
      </x:c>
      <x:c r="E88" s="25"/>
      <x:c r="F88" s="25" t="s">
        <x:v>970</x:v>
      </x:c>
      <x:c r="G88" s="17" t="s">
        <x:v>971</x:v>
      </x:c>
      <x:c r="H88" s="17"/>
      <x:c r="I88" s="25">
        <x:v>10</x:v>
      </x:c>
      <x:c r="J88" s="25"/>
      <x:c r="K88" s="11">
        <x:v>7</x:v>
      </x:c>
      <x:c r="L88" s="25" t="s">
        <x:v>38</x:v>
      </x:c>
      <x:c r="M88" s="39" t="str">
        <x:v>品牌已指定，型号待补</x:v>
      </x:c>
      <x:c r="N88" s="17" t="s">
        <x:v>971</x:v>
      </x:c>
      <x:c r="O88" s="17"/>
      <x:c r="P88" s="39" t="str">
        <x:v>VISHAY(威世)</x:v>
      </x:c>
      <x:c r="Q88" s="28" t="s">
        <x:v>952</x:v>
      </x:c>
      <x:c r="R88" s="17" t="s">
        <x:v>969</x:v>
      </x:c>
      <x:c r="S88" s="17" t="s">
        <x:v>91</x:v>
      </x:c>
      <x:c r="T88" s="25"/>
      <x:c r="U88" s="14"/>
      <x:c r="V88" s="25"/>
      <x:c r="W88" s="25"/>
      <x:c r="X88" s="25"/>
      <x:c r="Y88" s="25"/>
      <x:c r="Z88" s="25"/>
      <x:c r="AA88" s="46" t="n">
        <x:v>10</x:v>
      </x:c>
      <x:c r="AB88" s="25"/>
      <x:c r="AC88" s="25"/>
      <x:c r="AD88" s="16"/>
      <x:c r="AE88" s="39" t="str">
        <x:v>调试替换R48/R71，首次不装；品牌按用户提供信息填写；完整型号由商家补齐，需满足本行参数；数量按商家原报10颗保留</x:v>
      </x:c>
    </x:row>
    <x:row r="89" ht="66">
      <x:c r="A89" s="25"/>
      <x:c r="B89" s="39" t="str">
        <x:v>VISHAY(威世)</x:v>
      </x:c>
      <x:c r="C89" s="26" t="s">
        <x:v>952</x:v>
      </x:c>
      <x:c r="D89" s="25" t="s">
        <x:v>969</x:v>
      </x:c>
      <x:c r="E89" s="25"/>
      <x:c r="F89" s="25" t="s">
        <x:v>972</x:v>
      </x:c>
      <x:c r="G89" s="17" t="s">
        <x:v>973</x:v>
      </x:c>
      <x:c r="H89" s="17"/>
      <x:c r="I89" s="25">
        <x:v>10</x:v>
      </x:c>
      <x:c r="J89" s="25"/>
      <x:c r="K89" s="11">
        <x:v>7</x:v>
      </x:c>
      <x:c r="L89" s="25" t="s">
        <x:v>38</x:v>
      </x:c>
      <x:c r="M89" s="39" t="str">
        <x:v>品牌已指定，型号待补</x:v>
      </x:c>
      <x:c r="N89" s="17" t="s">
        <x:v>973</x:v>
      </x:c>
      <x:c r="O89" s="17"/>
      <x:c r="P89" s="39" t="str">
        <x:v>VISHAY(威世)</x:v>
      </x:c>
      <x:c r="Q89" s="28" t="s">
        <x:v>952</x:v>
      </x:c>
      <x:c r="R89" s="17" t="s">
        <x:v>969</x:v>
      </x:c>
      <x:c r="S89" s="17" t="s">
        <x:v>91</x:v>
      </x:c>
      <x:c r="T89" s="25"/>
      <x:c r="U89" s="14"/>
      <x:c r="V89" s="25"/>
      <x:c r="W89" s="25"/>
      <x:c r="X89" s="25"/>
      <x:c r="Y89" s="25"/>
      <x:c r="Z89" s="25"/>
      <x:c r="AA89" s="46" t="n">
        <x:v>10</x:v>
      </x:c>
      <x:c r="AB89" s="25"/>
      <x:c r="AC89" s="25"/>
      <x:c r="AD89" s="16"/>
      <x:c r="AE89" s="39" t="str">
        <x:v>调试替换R48/R71，首次不装；品牌按用户提供信息填写；完整型号由商家补齐，需满足本行参数；数量按商家原报10颗保留</x:v>
      </x:c>
    </x:row>
    <x:row r="90" ht="66">
      <x:c r="A90" s="25"/>
      <x:c r="B90" s="39" t="str">
        <x:v>VISHAY(威世)</x:v>
      </x:c>
      <x:c r="C90" s="26" t="s">
        <x:v>952</x:v>
      </x:c>
      <x:c r="D90" s="25" t="s">
        <x:v>969</x:v>
      </x:c>
      <x:c r="E90" s="25"/>
      <x:c r="F90" s="25" t="s">
        <x:v>974</x:v>
      </x:c>
      <x:c r="G90" s="17" t="s">
        <x:v>975</x:v>
      </x:c>
      <x:c r="H90" s="17"/>
      <x:c r="I90" s="25">
        <x:v>10</x:v>
      </x:c>
      <x:c r="J90" s="25"/>
      <x:c r="K90" s="11">
        <x:v>7</x:v>
      </x:c>
      <x:c r="L90" s="25" t="s">
        <x:v>38</x:v>
      </x:c>
      <x:c r="M90" s="39" t="str">
        <x:v>品牌已指定，型号待补</x:v>
      </x:c>
      <x:c r="N90" s="17" t="s">
        <x:v>975</x:v>
      </x:c>
      <x:c r="O90" s="17"/>
      <x:c r="P90" s="39" t="str">
        <x:v>VISHAY(威世)</x:v>
      </x:c>
      <x:c r="Q90" s="28" t="s">
        <x:v>952</x:v>
      </x:c>
      <x:c r="R90" s="17" t="s">
        <x:v>969</x:v>
      </x:c>
      <x:c r="S90" s="17" t="s">
        <x:v>91</x:v>
      </x:c>
      <x:c r="T90" s="25"/>
      <x:c r="U90" s="14"/>
      <x:c r="V90" s="25"/>
      <x:c r="W90" s="25"/>
      <x:c r="X90" s="25"/>
      <x:c r="Y90" s="25"/>
      <x:c r="Z90" s="25"/>
      <x:c r="AA90" s="46" t="n">
        <x:v>10</x:v>
      </x:c>
      <x:c r="AB90" s="25"/>
      <x:c r="AC90" s="25"/>
      <x:c r="AD90" s="16"/>
      <x:c r="AE90" s="39" t="str">
        <x:v>调试替换R48/R71，首次不装；品牌按用户提供信息填写；完整型号由商家补齐，需满足本行参数；数量按商家原报10颗保留</x:v>
      </x:c>
    </x:row>
    <x:row r="91" ht="66">
      <x:c r="A91" s="25"/>
      <x:c r="B91" s="39" t="str">
        <x:v>VISHAY(威世)</x:v>
      </x:c>
      <x:c r="C91" s="26" t="s">
        <x:v>952</x:v>
      </x:c>
      <x:c r="D91" s="25" t="s">
        <x:v>969</x:v>
      </x:c>
      <x:c r="E91" s="25"/>
      <x:c r="F91" s="25" t="s">
        <x:v>976</x:v>
      </x:c>
      <x:c r="G91" s="17" t="s">
        <x:v>977</x:v>
      </x:c>
      <x:c r="H91" s="17"/>
      <x:c r="I91" s="25">
        <x:v>10</x:v>
      </x:c>
      <x:c r="J91" s="25"/>
      <x:c r="K91" s="11">
        <x:v>7</x:v>
      </x:c>
      <x:c r="L91" s="25" t="s">
        <x:v>38</x:v>
      </x:c>
      <x:c r="M91" s="39" t="str">
        <x:v>品牌已指定，型号待补</x:v>
      </x:c>
      <x:c r="N91" s="17" t="s">
        <x:v>977</x:v>
      </x:c>
      <x:c r="O91" s="17"/>
      <x:c r="P91" s="39" t="str">
        <x:v>VISHAY(威世)</x:v>
      </x:c>
      <x:c r="Q91" s="28" t="s">
        <x:v>952</x:v>
      </x:c>
      <x:c r="R91" s="17" t="s">
        <x:v>969</x:v>
      </x:c>
      <x:c r="S91" s="17" t="s">
        <x:v>91</x:v>
      </x:c>
      <x:c r="T91" s="25"/>
      <x:c r="U91" s="14"/>
      <x:c r="V91" s="25"/>
      <x:c r="W91" s="25"/>
      <x:c r="X91" s="25"/>
      <x:c r="Y91" s="25"/>
      <x:c r="Z91" s="25"/>
      <x:c r="AA91" s="46" t="n">
        <x:v>10</x:v>
      </x:c>
      <x:c r="AB91" s="25"/>
      <x:c r="AC91" s="25"/>
      <x:c r="AD91" s="16"/>
      <x:c r="AE91" s="39" t="str">
        <x:v>调试替换R48/R71，首次不装；品牌按用户提供信息填写；完整型号由商家补齐，需满足本行参数；数量按商家原报10颗保留</x:v>
      </x:c>
    </x:row>
    <x:row r="92" ht="66">
      <x:c r="A92" s="25"/>
      <x:c r="B92" s="39" t="str">
        <x:v>VISHAY(威世)</x:v>
      </x:c>
      <x:c r="C92" s="26" t="s">
        <x:v>964</x:v>
      </x:c>
      <x:c r="D92" s="25" t="s">
        <x:v>978</x:v>
      </x:c>
      <x:c r="E92" s="25"/>
      <x:c r="F92" s="25" t="s">
        <x:v>979</x:v>
      </x:c>
      <x:c r="G92" s="17" t="s">
        <x:v>980</x:v>
      </x:c>
      <x:c r="H92" s="17"/>
      <x:c r="I92" s="25">
        <x:v>10</x:v>
      </x:c>
      <x:c r="J92" s="25"/>
      <x:c r="K92" s="11">
        <x:v>1</x:v>
      </x:c>
      <x:c r="L92" s="25" t="s">
        <x:v>38</x:v>
      </x:c>
      <x:c r="M92" s="39" t="str">
        <x:v>品牌已指定，型号待补</x:v>
      </x:c>
      <x:c r="N92" s="17" t="s">
        <x:v>980</x:v>
      </x:c>
      <x:c r="O92" s="17"/>
      <x:c r="P92" s="39" t="str">
        <x:v>VISHAY(威世)</x:v>
      </x:c>
      <x:c r="Q92" s="28" t="s">
        <x:v>964</x:v>
      </x:c>
      <x:c r="R92" s="17" t="s">
        <x:v>978</x:v>
      </x:c>
      <x:c r="S92" s="17" t="s">
        <x:v>59</x:v>
      </x:c>
      <x:c r="T92" s="25"/>
      <x:c r="U92" s="14"/>
      <x:c r="V92" s="25"/>
      <x:c r="W92" s="25"/>
      <x:c r="X92" s="25"/>
      <x:c r="Y92" s="25"/>
      <x:c r="Z92" s="25"/>
      <x:c r="AA92" s="46" t="n">
        <x:v>10</x:v>
      </x:c>
      <x:c r="AB92" s="25"/>
      <x:c r="AC92" s="25"/>
      <x:c r="AD92" s="16"/>
      <x:c r="AE92" s="39" t="str">
        <x:v>调试替换C65/C87，首次不装；品牌按用户提供信息填写；完整型号由商家补齐，需满足本行参数；数量按商家原报10颗保留</x:v>
      </x:c>
    </x:row>
    <x:row r="93" ht="66">
      <x:c r="A93" s="25"/>
      <x:c r="B93" s="39" t="str">
        <x:v>VISHAY(威世)</x:v>
      </x:c>
      <x:c r="C93" s="26" t="s">
        <x:v>964</x:v>
      </x:c>
      <x:c r="D93" s="25" t="s">
        <x:v>978</x:v>
      </x:c>
      <x:c r="E93" s="25"/>
      <x:c r="F93" s="25" t="s">
        <x:v>981</x:v>
      </x:c>
      <x:c r="G93" s="17" t="s">
        <x:v>982</x:v>
      </x:c>
      <x:c r="H93" s="17"/>
      <x:c r="I93" s="25">
        <x:v>10</x:v>
      </x:c>
      <x:c r="J93" s="25"/>
      <x:c r="K93" s="11">
        <x:v>1</x:v>
      </x:c>
      <x:c r="L93" s="25" t="s">
        <x:v>38</x:v>
      </x:c>
      <x:c r="M93" s="39" t="str">
        <x:v>品牌已指定，型号待补</x:v>
      </x:c>
      <x:c r="N93" s="17" t="s">
        <x:v>982</x:v>
      </x:c>
      <x:c r="O93" s="17"/>
      <x:c r="P93" s="39" t="str">
        <x:v>VISHAY(威世)</x:v>
      </x:c>
      <x:c r="Q93" s="28" t="s">
        <x:v>964</x:v>
      </x:c>
      <x:c r="R93" s="17" t="s">
        <x:v>978</x:v>
      </x:c>
      <x:c r="S93" s="17" t="s">
        <x:v>59</x:v>
      </x:c>
      <x:c r="T93" s="25"/>
      <x:c r="U93" s="14"/>
      <x:c r="V93" s="25"/>
      <x:c r="W93" s="25"/>
      <x:c r="X93" s="25"/>
      <x:c r="Y93" s="25"/>
      <x:c r="Z93" s="25"/>
      <x:c r="AA93" s="46" t="n">
        <x:v>10</x:v>
      </x:c>
      <x:c r="AB93" s="25"/>
      <x:c r="AC93" s="25"/>
      <x:c r="AD93" s="16"/>
      <x:c r="AE93" s="39" t="str">
        <x:v>调试替换C65/C87，首次不装；品牌按用户提供信息填写；完整型号由商家补齐，需满足本行参数；数量按商家原报10颗保留</x:v>
      </x:c>
    </x:row>
    <x:row r="94" ht="66">
      <x:c r="A94" s="25"/>
      <x:c r="B94" s="39" t="str">
        <x:v>VISHAY(威世)</x:v>
      </x:c>
      <x:c r="C94" s="26" t="s">
        <x:v>964</x:v>
      </x:c>
      <x:c r="D94" s="25" t="s">
        <x:v>978</x:v>
      </x:c>
      <x:c r="E94" s="25"/>
      <x:c r="F94" s="25" t="s">
        <x:v>983</x:v>
      </x:c>
      <x:c r="G94" s="17" t="s">
        <x:v>984</x:v>
      </x:c>
      <x:c r="H94" s="17"/>
      <x:c r="I94" s="25">
        <x:v>10</x:v>
      </x:c>
      <x:c r="J94" s="25"/>
      <x:c r="K94" s="11">
        <x:v>1</x:v>
      </x:c>
      <x:c r="L94" s="25" t="s">
        <x:v>38</x:v>
      </x:c>
      <x:c r="M94" s="39" t="str">
        <x:v>品牌已指定，型号待补</x:v>
      </x:c>
      <x:c r="N94" s="17" t="s">
        <x:v>984</x:v>
      </x:c>
      <x:c r="O94" s="17"/>
      <x:c r="P94" s="39" t="str">
        <x:v>VISHAY(威世)</x:v>
      </x:c>
      <x:c r="Q94" s="28" t="s">
        <x:v>964</x:v>
      </x:c>
      <x:c r="R94" s="17" t="s">
        <x:v>978</x:v>
      </x:c>
      <x:c r="S94" s="17" t="s">
        <x:v>59</x:v>
      </x:c>
      <x:c r="T94" s="25"/>
      <x:c r="U94" s="14"/>
      <x:c r="V94" s="25"/>
      <x:c r="W94" s="25"/>
      <x:c r="X94" s="25"/>
      <x:c r="Y94" s="25"/>
      <x:c r="Z94" s="25"/>
      <x:c r="AA94" s="46" t="n">
        <x:v>10</x:v>
      </x:c>
      <x:c r="AB94" s="25"/>
      <x:c r="AC94" s="25"/>
      <x:c r="AD94" s="16"/>
      <x:c r="AE94" s="39" t="str">
        <x:v>调试替换C65/C87，首次不装；品牌按用户提供信息填写；完整型号由商家补齐，需满足本行参数；数量按商家原报10颗保留</x:v>
      </x:c>
    </x:row>
    <x:row r="95" ht="66">
      <x:c r="A95" s="25"/>
      <x:c r="B95" s="39" t="str">
        <x:v>VISHAY(威世)</x:v>
      </x:c>
      <x:c r="C95" s="26" t="s">
        <x:v>964</x:v>
      </x:c>
      <x:c r="D95" s="25" t="s">
        <x:v>978</x:v>
      </x:c>
      <x:c r="E95" s="25"/>
      <x:c r="F95" s="25" t="s">
        <x:v>985</x:v>
      </x:c>
      <x:c r="G95" s="17" t="s">
        <x:v>986</x:v>
      </x:c>
      <x:c r="H95" s="17"/>
      <x:c r="I95" s="25">
        <x:v>10</x:v>
      </x:c>
      <x:c r="J95" s="25"/>
      <x:c r="K95" s="11">
        <x:v>1</x:v>
      </x:c>
      <x:c r="L95" s="25" t="s">
        <x:v>38</x:v>
      </x:c>
      <x:c r="M95" s="39" t="str">
        <x:v>品牌已指定，型号待补</x:v>
      </x:c>
      <x:c r="N95" s="17" t="s">
        <x:v>986</x:v>
      </x:c>
      <x:c r="O95" s="17"/>
      <x:c r="P95" s="39" t="str">
        <x:v>VISHAY(威世)</x:v>
      </x:c>
      <x:c r="Q95" s="28" t="s">
        <x:v>964</x:v>
      </x:c>
      <x:c r="R95" s="17" t="s">
        <x:v>978</x:v>
      </x:c>
      <x:c r="S95" s="17" t="s">
        <x:v>59</x:v>
      </x:c>
      <x:c r="T95" s="25"/>
      <x:c r="U95" s="14"/>
      <x:c r="V95" s="25"/>
      <x:c r="W95" s="25"/>
      <x:c r="X95" s="25"/>
      <x:c r="Y95" s="25"/>
      <x:c r="Z95" s="25"/>
      <x:c r="AA95" s="46" t="n">
        <x:v>10</x:v>
      </x:c>
      <x:c r="AB95" s="25"/>
      <x:c r="AC95" s="25"/>
      <x:c r="AD95" s="16"/>
      <x:c r="AE95" s="39" t="str">
        <x:v>调试替换C65/C87，首次不装；品牌按用户提供信息填写；完整型号由商家补齐，需满足本行参数；数量按商家原报10颗保留</x:v>
      </x:c>
    </x:row>
    <x:row r="96" ht="66">
      <x:c r="A96" s="25"/>
      <x:c r="B96" s="39" t="str">
        <x:v>VISHAY(威世)</x:v>
      </x:c>
      <x:c r="C96" s="26" t="s">
        <x:v>118</x:v>
      </x:c>
      <x:c r="D96" s="25" t="s">
        <x:v>987</x:v>
      </x:c>
      <x:c r="E96" s="25"/>
      <x:c r="F96" s="25" t="s">
        <x:v>988</x:v>
      </x:c>
      <x:c r="G96" s="17" t="s">
        <x:v>989</x:v>
      </x:c>
      <x:c r="H96" s="17"/>
      <x:c r="I96" s="25">
        <x:v>50</x:v>
      </x:c>
      <x:c r="J96" s="25"/>
      <x:c r="K96" s="11">
        <x:v>1</x:v>
      </x:c>
      <x:c r="L96" s="25" t="s">
        <x:v>38</x:v>
      </x:c>
      <x:c r="M96" s="39" t="str">
        <x:v>品牌已指定，型号待补</x:v>
      </x:c>
      <x:c r="N96" s="17" t="s">
        <x:v>989</x:v>
      </x:c>
      <x:c r="O96" s="17"/>
      <x:c r="P96" s="39" t="str">
        <x:v>VISHAY(威世)</x:v>
      </x:c>
      <x:c r="Q96" s="28" t="s">
        <x:v>118</x:v>
      </x:c>
      <x:c r="R96" s="17" t="s">
        <x:v>987</x:v>
      </x:c>
      <x:c r="S96" s="17" t="s">
        <x:v>91</x:v>
      </x:c>
      <x:c r="T96" s="25"/>
      <x:c r="U96" s="14"/>
      <x:c r="V96" s="25"/>
      <x:c r="W96" s="25"/>
      <x:c r="X96" s="25"/>
      <x:c r="Y96" s="25"/>
      <x:c r="Z96" s="25"/>
      <x:c r="AA96" s="46" t="n">
        <x:v>50</x:v>
      </x:c>
      <x:c r="AB96" s="25"/>
      <x:c r="AC96" s="25"/>
      <x:c r="AD96" s="16"/>
      <x:c r="AE96" s="39" t="str">
        <x:v>调试替换R21/R43/R42/R47，首次不装；品牌按用户提供信息填写；完整型号由商家补齐，需满足本行参数；数量按商家原报50颗保留</x:v>
      </x:c>
    </x:row>
    <x:row r="97" ht="66">
      <x:c r="A97" s="25"/>
      <x:c r="B97" s="39" t="str">
        <x:v>VISHAY(威世)</x:v>
      </x:c>
      <x:c r="C97" s="26" t="s">
        <x:v>118</x:v>
      </x:c>
      <x:c r="D97" s="25" t="s">
        <x:v>987</x:v>
      </x:c>
      <x:c r="E97" s="25"/>
      <x:c r="F97" s="25" t="s">
        <x:v>990</x:v>
      </x:c>
      <x:c r="G97" s="17" t="s">
        <x:v>991</x:v>
      </x:c>
      <x:c r="H97" s="17"/>
      <x:c r="I97" s="25">
        <x:v>50</x:v>
      </x:c>
      <x:c r="J97" s="25"/>
      <x:c r="K97" s="11">
        <x:v>1</x:v>
      </x:c>
      <x:c r="L97" s="25" t="s">
        <x:v>38</x:v>
      </x:c>
      <x:c r="M97" s="39" t="str">
        <x:v>品牌已指定，型号待补</x:v>
      </x:c>
      <x:c r="N97" s="17" t="s">
        <x:v>991</x:v>
      </x:c>
      <x:c r="O97" s="17"/>
      <x:c r="P97" s="39" t="str">
        <x:v>VISHAY(威世)</x:v>
      </x:c>
      <x:c r="Q97" s="28" t="s">
        <x:v>118</x:v>
      </x:c>
      <x:c r="R97" s="17" t="s">
        <x:v>987</x:v>
      </x:c>
      <x:c r="S97" s="17" t="s">
        <x:v>91</x:v>
      </x:c>
      <x:c r="T97" s="25"/>
      <x:c r="U97" s="14"/>
      <x:c r="V97" s="25"/>
      <x:c r="W97" s="25"/>
      <x:c r="X97" s="25"/>
      <x:c r="Y97" s="25"/>
      <x:c r="Z97" s="25"/>
      <x:c r="AA97" s="46" t="n">
        <x:v>50</x:v>
      </x:c>
      <x:c r="AB97" s="25"/>
      <x:c r="AC97" s="25"/>
      <x:c r="AD97" s="16"/>
      <x:c r="AE97" s="39" t="str">
        <x:v>调试替换R21/R43/R42/R47，首次不装；品牌按用户提供信息填写；完整型号由商家补齐，需满足本行参数；数量按商家原报50颗保留</x:v>
      </x:c>
    </x:row>
    <x:row r="98" ht="66">
      <x:c r="A98" s="25"/>
      <x:c r="B98" s="39" t="str">
        <x:v>VISHAY(威世)</x:v>
      </x:c>
      <x:c r="C98" s="26" t="s">
        <x:v>118</x:v>
      </x:c>
      <x:c r="D98" s="25" t="s">
        <x:v>987</x:v>
      </x:c>
      <x:c r="E98" s="25"/>
      <x:c r="F98" s="25" t="s">
        <x:v>992</x:v>
      </x:c>
      <x:c r="G98" s="17" t="s">
        <x:v>993</x:v>
      </x:c>
      <x:c r="H98" s="17"/>
      <x:c r="I98" s="25">
        <x:v>50</x:v>
      </x:c>
      <x:c r="J98" s="25"/>
      <x:c r="K98" s="11">
        <x:v>1</x:v>
      </x:c>
      <x:c r="L98" s="25" t="s">
        <x:v>38</x:v>
      </x:c>
      <x:c r="M98" s="39" t="str">
        <x:v>品牌已指定，型号待补</x:v>
      </x:c>
      <x:c r="N98" s="17" t="s">
        <x:v>993</x:v>
      </x:c>
      <x:c r="O98" s="17"/>
      <x:c r="P98" s="39" t="str">
        <x:v>VISHAY(威世)</x:v>
      </x:c>
      <x:c r="Q98" s="28" t="s">
        <x:v>118</x:v>
      </x:c>
      <x:c r="R98" s="17" t="s">
        <x:v>987</x:v>
      </x:c>
      <x:c r="S98" s="17" t="s">
        <x:v>91</x:v>
      </x:c>
      <x:c r="T98" s="25"/>
      <x:c r="U98" s="14"/>
      <x:c r="V98" s="25"/>
      <x:c r="W98" s="25"/>
      <x:c r="X98" s="25"/>
      <x:c r="Y98" s="25"/>
      <x:c r="Z98" s="25"/>
      <x:c r="AA98" s="46" t="n">
        <x:v>50</x:v>
      </x:c>
      <x:c r="AB98" s="25"/>
      <x:c r="AC98" s="25"/>
      <x:c r="AD98" s="16"/>
      <x:c r="AE98" s="39" t="str">
        <x:v>调试替换R21/R43/R42/R47，首次不装；品牌按用户提供信息填写；完整型号由商家补齐，需满足本行参数；数量按商家原报50颗保留</x:v>
      </x:c>
    </x:row>
    <x:row r="99" ht="66">
      <x:c r="A99" s="25"/>
      <x:c r="B99" s="39" t="str">
        <x:v>VISHAY(威世)</x:v>
      </x:c>
      <x:c r="C99" s="26" t="s">
        <x:v>118</x:v>
      </x:c>
      <x:c r="D99" s="25" t="s">
        <x:v>987</x:v>
      </x:c>
      <x:c r="E99" s="25"/>
      <x:c r="F99" s="25" t="s">
        <x:v>994</x:v>
      </x:c>
      <x:c r="G99" s="17" t="s">
        <x:v>995</x:v>
      </x:c>
      <x:c r="H99" s="17"/>
      <x:c r="I99" s="25">
        <x:v>50</x:v>
      </x:c>
      <x:c r="J99" s="25"/>
      <x:c r="K99" s="11">
        <x:v>1</x:v>
      </x:c>
      <x:c r="L99" s="25" t="s">
        <x:v>38</x:v>
      </x:c>
      <x:c r="M99" s="39" t="str">
        <x:v>品牌已指定，型号待补</x:v>
      </x:c>
      <x:c r="N99" s="17" t="s">
        <x:v>995</x:v>
      </x:c>
      <x:c r="O99" s="17"/>
      <x:c r="P99" s="39" t="str">
        <x:v>VISHAY(威世)</x:v>
      </x:c>
      <x:c r="Q99" s="28" t="s">
        <x:v>118</x:v>
      </x:c>
      <x:c r="R99" s="17" t="s">
        <x:v>987</x:v>
      </x:c>
      <x:c r="S99" s="17" t="s">
        <x:v>91</x:v>
      </x:c>
      <x:c r="T99" s="25"/>
      <x:c r="U99" s="14"/>
      <x:c r="V99" s="25"/>
      <x:c r="W99" s="25"/>
      <x:c r="X99" s="25"/>
      <x:c r="Y99" s="25"/>
      <x:c r="Z99" s="25"/>
      <x:c r="AA99" s="46" t="n">
        <x:v>50</x:v>
      </x:c>
      <x:c r="AB99" s="25"/>
      <x:c r="AC99" s="25"/>
      <x:c r="AD99" s="16"/>
      <x:c r="AE99" s="39" t="str">
        <x:v>调试替换R21/R43/R42/R47，首次不装；品牌按用户提供信息填写；完整型号由商家补齐，需满足本行参数；数量按商家原报50颗保留</x:v>
      </x:c>
    </x:row>
    <x:row r="100" ht="36" customHeight="1">
      <x:c r="J100" s="54" t="str">
        <x:v>参考合计（待重报）</x:v>
      </x:c>
      <x:c r="K100" s="51" t="n">
        <x:f>SUM(K3:K99)</x:f>
        <x:v>611.65</x:v>
      </x:c>
    </x:row>
    <x:row r="101" ht="36" customHeight="1">
      <x:c r="J101" s="54" t="str">
        <x:v>原折后价（旧数量）</x:v>
      </x:c>
      <x:c r="K101">
        <x:v>395</x:v>
      </x:c>
    </x:row>
  </x:sheetData>
  <x:mergeCells>
    <x:mergeCell ref="A1:L1"/>
    <x:mergeCell ref="M1:S1"/>
    <x:mergeCell ref="T1:AE1"/>
  </x:mergeCells>
  <x:pageMargins left="0.7" right="0.7" top="0.75" bottom="0.75" header="0.3" footer="0.3"/>
</x:worksheet>
</file>